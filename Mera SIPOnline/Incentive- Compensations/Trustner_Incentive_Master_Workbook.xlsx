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Master" sheetId="1" state="visible" r:id="rId3"/>
    <sheet name="Incentive Slabs" sheetId="2" state="visible" r:id="rId4"/>
    <sheet name="Monthly Incentive Calculator" sheetId="3" state="visible" r:id="rId5"/>
    <sheet name="Trail Income Model" sheetId="4" state="visible" r:id="rId6"/>
    <sheet name="Profit Center P&amp;L" sheetId="5" state="visible" r:id="rId7"/>
    <sheet name="Hiring ROI Calculator" sheetId="6" state="visible" r:id="rId8"/>
    <sheet name="Promotion Criteria" sheetId="7" state="visible" r:id="rId9"/>
    <sheet name="5-Year Projection" sheetId="8" state="visible" r:id="rId10"/>
    <sheet name="Org Cost Dashboard" sheetId="9" state="visible" r:id="rId11"/>
    <sheet name="Admin &amp; Control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<sst xmlns="http://schemas.openxmlformats.org/spreadsheetml/2006/main" count="666" uniqueCount="371">
  <si>
    <t xml:space="preserve">Name</t>
  </si>
  <si>
    <t xml:space="preserve">Code</t>
  </si>
  <si>
    <t xml:space="preserve">DOJ</t>
  </si>
  <si>
    <t xml:space="preserve">Designation</t>
  </si>
  <si>
    <t xml:space="preserve">Department</t>
  </si>
  <si>
    <t xml:space="preserve">Job Resp</t>
  </si>
  <si>
    <t xml:space="preserve">Gross Salary</t>
  </si>
  <si>
    <t xml:space="preserve">Entity</t>
  </si>
  <si>
    <t xml:space="preserve">Annual CTC</t>
  </si>
  <si>
    <t xml:space="preserve">Tenure (Years)</t>
  </si>
  <si>
    <t xml:space="preserve">Level Code</t>
  </si>
  <si>
    <t xml:space="preserve">Target Multiplier</t>
  </si>
  <si>
    <t xml:space="preserve">Monthly Target</t>
  </si>
  <si>
    <t xml:space="preserve">Annual Target</t>
  </si>
  <si>
    <t xml:space="preserve">Cost Recovery Min</t>
  </si>
  <si>
    <t xml:space="preserve">Balbinder Kaur</t>
  </si>
  <si>
    <t xml:space="preserve">TAS001</t>
  </si>
  <si>
    <t xml:space="preserve">Inhouse Sales Manager</t>
  </si>
  <si>
    <t xml:space="preserve">OPERATION</t>
  </si>
  <si>
    <t xml:space="preserve">SALES</t>
  </si>
  <si>
    <t xml:space="preserve">TAS</t>
  </si>
  <si>
    <t xml:space="preserve">Pranab Kumar Barman</t>
  </si>
  <si>
    <t xml:space="preserve">TAS002</t>
  </si>
  <si>
    <t xml:space="preserve">Office Assistant</t>
  </si>
  <si>
    <t xml:space="preserve">ADMIN</t>
  </si>
  <si>
    <t xml:space="preserve">Ajanta Saikia</t>
  </si>
  <si>
    <t xml:space="preserve">TAS003</t>
  </si>
  <si>
    <t xml:space="preserve">Field Force Multiplier</t>
  </si>
  <si>
    <t xml:space="preserve">LIFE</t>
  </si>
  <si>
    <t xml:space="preserve">TIB</t>
  </si>
  <si>
    <t xml:space="preserve">Akash Kumar</t>
  </si>
  <si>
    <t xml:space="preserve">TAS004</t>
  </si>
  <si>
    <t xml:space="preserve">Executive</t>
  </si>
  <si>
    <t xml:space="preserve">HEALTH</t>
  </si>
  <si>
    <t xml:space="preserve">Nipa Das</t>
  </si>
  <si>
    <t xml:space="preserve">TAS005</t>
  </si>
  <si>
    <t xml:space="preserve">Back Office Executive</t>
  </si>
  <si>
    <t xml:space="preserve">Back Office</t>
  </si>
  <si>
    <t xml:space="preserve">Jitender Roy</t>
  </si>
  <si>
    <t xml:space="preserve">TAS006</t>
  </si>
  <si>
    <t xml:space="preserve">Relationship Manager</t>
  </si>
  <si>
    <t xml:space="preserve">Rafiqueddin Ahmed</t>
  </si>
  <si>
    <t xml:space="preserve">TAS051</t>
  </si>
  <si>
    <t xml:space="preserve">Mentor</t>
  </si>
  <si>
    <t xml:space="preserve">Pranita Saikia</t>
  </si>
  <si>
    <t xml:space="preserve">TAS008</t>
  </si>
  <si>
    <t xml:space="preserve">G.I.</t>
  </si>
  <si>
    <t xml:space="preserve">Tamanna Kejriwal</t>
  </si>
  <si>
    <t xml:space="preserve">TAS009</t>
  </si>
  <si>
    <t xml:space="preserve">Sales Head</t>
  </si>
  <si>
    <t xml:space="preserve">F.P.</t>
  </si>
  <si>
    <t xml:space="preserve">Shivani Kumari</t>
  </si>
  <si>
    <t xml:space="preserve">TAS013</t>
  </si>
  <si>
    <t xml:space="preserve">Rinjima Pathak Das</t>
  </si>
  <si>
    <t xml:space="preserve">TAS014</t>
  </si>
  <si>
    <t xml:space="preserve">HR Manager</t>
  </si>
  <si>
    <t xml:space="preserve">HR &amp; ADMIN</t>
  </si>
  <si>
    <t xml:space="preserve">Nayanjyoti Handique</t>
  </si>
  <si>
    <t xml:space="preserve">TAS016</t>
  </si>
  <si>
    <t xml:space="preserve">Operation Manager</t>
  </si>
  <si>
    <t xml:space="preserve">Claims</t>
  </si>
  <si>
    <t xml:space="preserve">Laxman Sharma</t>
  </si>
  <si>
    <t xml:space="preserve">TAS018</t>
  </si>
  <si>
    <t xml:space="preserve">Mayurakshi Goswami</t>
  </si>
  <si>
    <t xml:space="preserve">TAS021</t>
  </si>
  <si>
    <t xml:space="preserve">Bhola Singh</t>
  </si>
  <si>
    <t xml:space="preserve">TAS019</t>
  </si>
  <si>
    <t xml:space="preserve">Area Manager GI</t>
  </si>
  <si>
    <t xml:space="preserve">Ranjan Jyoti Datta Choudhury</t>
  </si>
  <si>
    <t xml:space="preserve">TAS022</t>
  </si>
  <si>
    <t xml:space="preserve">Account Manager</t>
  </si>
  <si>
    <t xml:space="preserve">ACCOUNTS</t>
  </si>
  <si>
    <t xml:space="preserve">Pinki Rani Kalita</t>
  </si>
  <si>
    <t xml:space="preserve">TAS027</t>
  </si>
  <si>
    <t xml:space="preserve">Harshita Jalan</t>
  </si>
  <si>
    <t xml:space="preserve">TAS032</t>
  </si>
  <si>
    <t xml:space="preserve">Lucky Pathak</t>
  </si>
  <si>
    <t xml:space="preserve">TAS034</t>
  </si>
  <si>
    <t xml:space="preserve">Raj Das</t>
  </si>
  <si>
    <t xml:space="preserve">TAS031</t>
  </si>
  <si>
    <t xml:space="preserve">Financial Planner Officer</t>
  </si>
  <si>
    <t xml:space="preserve">DEMAT</t>
  </si>
  <si>
    <t xml:space="preserve">Vinita Kabra</t>
  </si>
  <si>
    <t xml:space="preserve">TAS030</t>
  </si>
  <si>
    <t xml:space="preserve">Sudeep Kashyap</t>
  </si>
  <si>
    <t xml:space="preserve">TAS037</t>
  </si>
  <si>
    <t xml:space="preserve">Digital Marketing Executive</t>
  </si>
  <si>
    <t xml:space="preserve">DIGITAL &amp; IT</t>
  </si>
  <si>
    <t xml:space="preserve">Jasmine Jain</t>
  </si>
  <si>
    <t xml:space="preserve">TAS040</t>
  </si>
  <si>
    <t xml:space="preserve">RM &amp; Trainer</t>
  </si>
  <si>
    <t xml:space="preserve">Hira Shrestha</t>
  </si>
  <si>
    <t xml:space="preserve">TAS047</t>
  </si>
  <si>
    <t xml:space="preserve">Nisha Koirala</t>
  </si>
  <si>
    <t xml:space="preserve">TAS048</t>
  </si>
  <si>
    <t xml:space="preserve">Preeti Nag</t>
  </si>
  <si>
    <t xml:space="preserve">TAS050</t>
  </si>
  <si>
    <t xml:space="preserve">Designer cum Video Editor</t>
  </si>
  <si>
    <t xml:space="preserve">Jinu Lagachu</t>
  </si>
  <si>
    <t xml:space="preserve">TAS052</t>
  </si>
  <si>
    <t xml:space="preserve">Khushbu Chhajer</t>
  </si>
  <si>
    <t xml:space="preserve">TAS054</t>
  </si>
  <si>
    <t xml:space="preserve">Sales Manager</t>
  </si>
  <si>
    <t xml:space="preserve">Aruna Deka</t>
  </si>
  <si>
    <t xml:space="preserve">TAS055</t>
  </si>
  <si>
    <t xml:space="preserve">Dipankar Das</t>
  </si>
  <si>
    <t xml:space="preserve">TAS058</t>
  </si>
  <si>
    <t xml:space="preserve">Outbound Team Leader</t>
  </si>
  <si>
    <t xml:space="preserve">Sweety Sarania</t>
  </si>
  <si>
    <t xml:space="preserve">TAS061</t>
  </si>
  <si>
    <t xml:space="preserve">Tanima Das</t>
  </si>
  <si>
    <t xml:space="preserve">TAS059</t>
  </si>
  <si>
    <t xml:space="preserve">Tele Calling Executive</t>
  </si>
  <si>
    <t xml:space="preserve">Mrinmoy Choudhury</t>
  </si>
  <si>
    <t xml:space="preserve">TAS063</t>
  </si>
  <si>
    <t xml:space="preserve">Regional Team Expansion Mgr</t>
  </si>
  <si>
    <t xml:space="preserve">Jumma Ara Begum</t>
  </si>
  <si>
    <t xml:space="preserve">TAS064</t>
  </si>
  <si>
    <t xml:space="preserve">Senior HR Executive</t>
  </si>
  <si>
    <t xml:space="preserve">Banshika Agarwal</t>
  </si>
  <si>
    <t xml:space="preserve">TAS067</t>
  </si>
  <si>
    <t xml:space="preserve">Wasbir Ahmed</t>
  </si>
  <si>
    <t xml:space="preserve">TAS068</t>
  </si>
  <si>
    <t xml:space="preserve">Ops &amp; Customer Service Mgr</t>
  </si>
  <si>
    <t xml:space="preserve">Ajay Singh</t>
  </si>
  <si>
    <t xml:space="preserve">TAS077</t>
  </si>
  <si>
    <t xml:space="preserve">MIS &amp; POS Handling</t>
  </si>
  <si>
    <t xml:space="preserve">MIS</t>
  </si>
  <si>
    <t xml:space="preserve">Banajit Bezbaruah</t>
  </si>
  <si>
    <t xml:space="preserve">TAS074</t>
  </si>
  <si>
    <t xml:space="preserve">Asst. Manager</t>
  </si>
  <si>
    <t xml:space="preserve">Kshetrimayam Ajay K Singh</t>
  </si>
  <si>
    <t xml:space="preserve">TAS083</t>
  </si>
  <si>
    <t xml:space="preserve">Ass. Branch Manager</t>
  </si>
  <si>
    <t xml:space="preserve">Shoibam Nara Singh</t>
  </si>
  <si>
    <t xml:space="preserve">TAS084</t>
  </si>
  <si>
    <t xml:space="preserve">Tasdiq Ahmed</t>
  </si>
  <si>
    <t xml:space="preserve">TAS081</t>
  </si>
  <si>
    <t xml:space="preserve">Hemanta Saharia</t>
  </si>
  <si>
    <t xml:space="preserve">TAS086</t>
  </si>
  <si>
    <t xml:space="preserve">Channel Development Mgr</t>
  </si>
  <si>
    <t xml:space="preserve">Juntara Patir</t>
  </si>
  <si>
    <t xml:space="preserve">TAS087</t>
  </si>
  <si>
    <t xml:space="preserve">Intern</t>
  </si>
  <si>
    <t xml:space="preserve">Naushad Hussain</t>
  </si>
  <si>
    <t xml:space="preserve">TAS089</t>
  </si>
  <si>
    <t xml:space="preserve">Partha Deb Barman</t>
  </si>
  <si>
    <t xml:space="preserve">TAS092</t>
  </si>
  <si>
    <t xml:space="preserve">Regional Manager</t>
  </si>
  <si>
    <t xml:space="preserve">POSP</t>
  </si>
  <si>
    <t xml:space="preserve">Purnananda Pathak</t>
  </si>
  <si>
    <t xml:space="preserve">TAS090</t>
  </si>
  <si>
    <t xml:space="preserve">Accounts Executive</t>
  </si>
  <si>
    <t xml:space="preserve">Hirakjyoti Das</t>
  </si>
  <si>
    <t xml:space="preserve">TAS093</t>
  </si>
  <si>
    <t xml:space="preserve">Sr. Executive MIS &amp; POS</t>
  </si>
  <si>
    <t xml:space="preserve">Abir Das</t>
  </si>
  <si>
    <t xml:space="preserve">-</t>
  </si>
  <si>
    <t xml:space="preserve">CDO</t>
  </si>
  <si>
    <t xml:space="preserve">Karismita Deka</t>
  </si>
  <si>
    <t xml:space="preserve">TAS095</t>
  </si>
  <si>
    <t xml:space="preserve">Client Mgmt Executive</t>
  </si>
  <si>
    <t xml:space="preserve">Sudarshana Gupta</t>
  </si>
  <si>
    <t xml:space="preserve">TAS094</t>
  </si>
  <si>
    <t xml:space="preserve">Anikendu Indra</t>
  </si>
  <si>
    <t xml:space="preserve">TAS099</t>
  </si>
  <si>
    <t xml:space="preserve">Ashis Das</t>
  </si>
  <si>
    <t xml:space="preserve">TAS098</t>
  </si>
  <si>
    <t xml:space="preserve">Indranil Roy</t>
  </si>
  <si>
    <t xml:space="preserve">TAS102</t>
  </si>
  <si>
    <t xml:space="preserve">Leena Das</t>
  </si>
  <si>
    <t xml:space="preserve">TAS100</t>
  </si>
  <si>
    <t xml:space="preserve">Mousam Majumdar</t>
  </si>
  <si>
    <t xml:space="preserve">TAS096</t>
  </si>
  <si>
    <t xml:space="preserve">Shakeeb Aamer</t>
  </si>
  <si>
    <t xml:space="preserve">TAS104</t>
  </si>
  <si>
    <t xml:space="preserve">Sukanta Das</t>
  </si>
  <si>
    <t xml:space="preserve">TAS101</t>
  </si>
  <si>
    <t xml:space="preserve">Kabita Goswami</t>
  </si>
  <si>
    <t xml:space="preserve">TAS105</t>
  </si>
  <si>
    <t xml:space="preserve">Housekeeping (Vendor)</t>
  </si>
  <si>
    <t xml:space="preserve">Outsourced</t>
  </si>
  <si>
    <t xml:space="preserve">Support</t>
  </si>
  <si>
    <t xml:space="preserve">Vendor</t>
  </si>
  <si>
    <t xml:space="preserve">Security (Vendor)</t>
  </si>
  <si>
    <t xml:space="preserve">Office Boy (Vendor)</t>
  </si>
  <si>
    <t xml:space="preserve">Achievement %</t>
  </si>
  <si>
    <t xml:space="preserve">Min</t>
  </si>
  <si>
    <t xml:space="preserve">Max</t>
  </si>
  <si>
    <t xml:space="preserve">Base Rate</t>
  </si>
  <si>
    <t xml:space="preserve">Multiplier</t>
  </si>
  <si>
    <t xml:space="preserve">Status</t>
  </si>
  <si>
    <t xml:space="preserve">&lt;80%</t>
  </si>
  <si>
    <t xml:space="preserve">No Incentive</t>
  </si>
  <si>
    <t xml:space="preserve">80-100%</t>
  </si>
  <si>
    <t xml:space="preserve">Base</t>
  </si>
  <si>
    <t xml:space="preserve">101-110%</t>
  </si>
  <si>
    <t xml:space="preserve">Standard</t>
  </si>
  <si>
    <t xml:space="preserve">111-130%</t>
  </si>
  <si>
    <t xml:space="preserve">Enhanced</t>
  </si>
  <si>
    <t xml:space="preserve">131-150%</t>
  </si>
  <si>
    <t xml:space="preserve">Super</t>
  </si>
  <si>
    <t xml:space="preserve">150%+</t>
  </si>
  <si>
    <t xml:space="preserve">Champion</t>
  </si>
  <si>
    <t xml:space="preserve">Product Credit Table</t>
  </si>
  <si>
    <t xml:space="preserve">Product Type</t>
  </si>
  <si>
    <t xml:space="preserve">Credit %</t>
  </si>
  <si>
    <t xml:space="preserve">Life 10 Pay+</t>
  </si>
  <si>
    <t xml:space="preserve">Life Below 10 Pay</t>
  </si>
  <si>
    <t xml:space="preserve">Life ULIP Regular</t>
  </si>
  <si>
    <t xml:space="preserve">Life Single Premium</t>
  </si>
  <si>
    <t xml:space="preserve">Health Insurance</t>
  </si>
  <si>
    <t xml:space="preserve">General Insurance</t>
  </si>
  <si>
    <t xml:space="preserve">MF SIP (annualized)</t>
  </si>
  <si>
    <t xml:space="preserve">MF Lumpsum</t>
  </si>
  <si>
    <t xml:space="preserve">Loans/LS</t>
  </si>
  <si>
    <t xml:space="preserve">Business from Directors</t>
  </si>
  <si>
    <t xml:space="preserve">Trail Sharing Rates</t>
  </si>
  <si>
    <t xml:space="preserve">Source Type</t>
  </si>
  <si>
    <t xml:space="preserve">RM %</t>
  </si>
  <si>
    <t xml:space="preserve">Mgmt %</t>
  </si>
  <si>
    <t xml:space="preserve">Company %</t>
  </si>
  <si>
    <t xml:space="preserve">Self-sourced</t>
  </si>
  <si>
    <t xml:space="preserve">Assigned + New Business</t>
  </si>
  <si>
    <t xml:space="preserve">Assigned + No New Business</t>
  </si>
  <si>
    <t xml:space="preserve">Office/Walk-in</t>
  </si>
  <si>
    <t xml:space="preserve">Employee Name</t>
  </si>
  <si>
    <t xml:space="preserve">Salary</t>
  </si>
  <si>
    <t xml:space="preserve">Month</t>
  </si>
  <si>
    <t xml:space="preserve">Life Ins Biz</t>
  </si>
  <si>
    <t xml:space="preserve">Health Ins Biz</t>
  </si>
  <si>
    <t xml:space="preserve">GI Biz</t>
  </si>
  <si>
    <t xml:space="preserve">MF SIP Biz</t>
  </si>
  <si>
    <t xml:space="preserve">MF Lumpsum Biz</t>
  </si>
  <si>
    <t xml:space="preserve">Other Biz</t>
  </si>
  <si>
    <t xml:space="preserve">Weighted Business</t>
  </si>
  <si>
    <t xml:space="preserve">Slab Applied</t>
  </si>
  <si>
    <t xml:space="preserve">Incentive Rate</t>
  </si>
  <si>
    <t xml:space="preserve">Incentive Amount</t>
  </si>
  <si>
    <t xml:space="preserve">Total Earning</t>
  </si>
  <si>
    <t xml:space="preserve">Cost Justified</t>
  </si>
  <si>
    <t xml:space="preserve">Performance Status</t>
  </si>
  <si>
    <t xml:space="preserve">Total AUM</t>
  </si>
  <si>
    <t xml:space="preserve">Trail Rate %</t>
  </si>
  <si>
    <t xml:space="preserve">Annual Trail Commission</t>
  </si>
  <si>
    <t xml:space="preserve">Incremental Business</t>
  </si>
  <si>
    <t xml:space="preserve">Effective Base for Sharing</t>
  </si>
  <si>
    <t xml:space="preserve">RM Share %</t>
  </si>
  <si>
    <t xml:space="preserve">RM Annual Trail</t>
  </si>
  <si>
    <t xml:space="preserve">RM Monthly Trail</t>
  </si>
  <si>
    <t xml:space="preserve">Mgmt Share %</t>
  </si>
  <si>
    <t xml:space="preserve">Mgmt Annual Trail</t>
  </si>
  <si>
    <t xml:space="preserve">Company Share %</t>
  </si>
  <si>
    <t xml:space="preserve">Company Annual Trail</t>
  </si>
  <si>
    <t xml:space="preserve">Vertical</t>
  </si>
  <si>
    <t xml:space="preserve">Monthly Revenue</t>
  </si>
  <si>
    <t xml:space="preserve">Vertical Head Salary</t>
  </si>
  <si>
    <t xml:space="preserve">Team Salary</t>
  </si>
  <si>
    <t xml:space="preserve">Team Incentives</t>
  </si>
  <si>
    <t xml:space="preserve">Other Variable Costs</t>
  </si>
  <si>
    <t xml:space="preserve">Attrition Cost</t>
  </si>
  <si>
    <t xml:space="preserve">TOTAL COST</t>
  </si>
  <si>
    <t xml:space="preserve">GROSS PROFIT</t>
  </si>
  <si>
    <t xml:space="preserve">Cost-to-Income %</t>
  </si>
  <si>
    <t xml:space="preserve">Profit Center Head Bonus Rate</t>
  </si>
  <si>
    <t xml:space="preserve">Head's Profit Bonus</t>
  </si>
  <si>
    <t xml:space="preserve">Health Status</t>
  </si>
  <si>
    <t xml:space="preserve">Life Insurance</t>
  </si>
  <si>
    <t xml:space="preserve">Financial Planning</t>
  </si>
  <si>
    <t xml:space="preserve">POSP Channel</t>
  </si>
  <si>
    <t xml:space="preserve">Operations</t>
  </si>
  <si>
    <t xml:space="preserve">Admin &amp; Accounts</t>
  </si>
  <si>
    <t xml:space="preserve">Digital &amp; IT</t>
  </si>
  <si>
    <t xml:space="preserve">Training</t>
  </si>
  <si>
    <t xml:space="preserve">Parameter</t>
  </si>
  <si>
    <t xml:space="preserve">Kolkata Example</t>
  </si>
  <si>
    <t xml:space="preserve">Team 2</t>
  </si>
  <si>
    <t xml:space="preserve">Team 3</t>
  </si>
  <si>
    <t xml:space="preserve">Team 4</t>
  </si>
  <si>
    <t xml:space="preserve">Team 5</t>
  </si>
  <si>
    <t xml:space="preserve">Candidate Name</t>
  </si>
  <si>
    <t xml:space="preserve">Kolkata Lead</t>
  </si>
  <si>
    <t xml:space="preserve">Location</t>
  </si>
  <si>
    <t xml:space="preserve">Leader Salary/month</t>
  </si>
  <si>
    <t xml:space="preserve">Team Size</t>
  </si>
  <si>
    <t xml:space="preserve">Avg Team Salary</t>
  </si>
  <si>
    <t xml:space="preserve">Setup Cost</t>
  </si>
  <si>
    <t xml:space="preserve">Grace Period (months)</t>
  </si>
  <si>
    <t xml:space="preserve">Expected Monthly Revenue</t>
  </si>
  <si>
    <t xml:space="preserve">Company Revenue Share %</t>
  </si>
  <si>
    <t xml:space="preserve">Monthly Team Cost</t>
  </si>
  <si>
    <t xml:space="preserve">Total Monthly Burn</t>
  </si>
  <si>
    <t xml:space="preserve">6-Month Investment</t>
  </si>
  <si>
    <t xml:space="preserve">12-Month Investment</t>
  </si>
  <si>
    <t xml:space="preserve">Monthly Net Revenue</t>
  </si>
  <si>
    <t xml:space="preserve">Monthly Profit</t>
  </si>
  <si>
    <t xml:space="preserve">Breakeven Months</t>
  </si>
  <si>
    <t xml:space="preserve">ROI Status</t>
  </si>
  <si>
    <t xml:space="preserve">Current Level</t>
  </si>
  <si>
    <t xml:space="preserve">Next Level</t>
  </si>
  <si>
    <t xml:space="preserve">Min Tenure (Yrs)</t>
  </si>
  <si>
    <t xml:space="preserve">Target Achievement %</t>
  </si>
  <si>
    <t xml:space="preserve">Additional Requirements</t>
  </si>
  <si>
    <t xml:space="preserve">Salary Jump %</t>
  </si>
  <si>
    <t xml:space="preserve">L6</t>
  </si>
  <si>
    <t xml:space="preserve">L5</t>
  </si>
  <si>
    <t xml:space="preserve">Consistent performance</t>
  </si>
  <si>
    <t xml:space="preserve">L4</t>
  </si>
  <si>
    <t xml:space="preserve">Team management skills</t>
  </si>
  <si>
    <t xml:space="preserve">L3</t>
  </si>
  <si>
    <t xml:space="preserve">Leadership &amp; strategic thinking</t>
  </si>
  <si>
    <t xml:space="preserve">L2</t>
  </si>
  <si>
    <t xml:space="preserve">Cross-functional expertise</t>
  </si>
  <si>
    <t xml:space="preserve">L1</t>
  </si>
  <si>
    <t xml:space="preserve">Business development acumen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</si>
  <si>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</si>
  <si>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</si>
  <si>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</si>
  <si>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</si>
  <si>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</si>
  <si>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Sales Headcount</t>
  </si>
  <si>
    <t xml:space="preserve">Support Headcount</t>
  </si>
  <si>
    <t xml:space="preserve">Outsourced Staff</t>
  </si>
  <si>
    <t xml:space="preserve">Total Headcount</t>
  </si>
  <si>
    <t xml:space="preserve">Avg Salary</t>
  </si>
  <si>
    <t xml:space="preserve">Annual Fixed Cost (12 months)</t>
  </si>
  <si>
    <t xml:space="preserve">Revenue Target (30% CTI)</t>
  </si>
  <si>
    <t xml:space="preserve">Variable Cost (8% of revenue)</t>
  </si>
  <si>
    <t xml:space="preserve">Total Cost</t>
  </si>
  <si>
    <t xml:space="preserve">Net Profit</t>
  </si>
  <si>
    <t xml:space="preserve">ROI %</t>
  </si>
  <si>
    <t xml:space="preserve">Revenue per Employee</t>
  </si>
  <si>
    <t xml:space="preserve">TRUSTNER GROUP - ORGANIZATION COST DASHBOARD</t>
  </si>
  <si>
    <t xml:space="preserve">Headcount by Entity</t>
  </si>
  <si>
    <t xml:space="preserve">Count</t>
  </si>
  <si>
    <t xml:space="preserve">% of Total</t>
  </si>
  <si>
    <t xml:space="preserve">Total Monthly Payroll</t>
  </si>
  <si>
    <t xml:space="preserve">Annual Payroll</t>
  </si>
  <si>
    <t xml:space="preserve">Department-wise Cost Breakdown</t>
  </si>
  <si>
    <t xml:space="preserve">Headcount</t>
  </si>
  <si>
    <t xml:space="preserve">Total Salary</t>
  </si>
  <si>
    <t xml:space="preserve">% of Payroll</t>
  </si>
  <si>
    <t xml:space="preserve">Sales vs Support Cost Ratio</t>
  </si>
  <si>
    <t xml:space="preserve">Total Sales Cost</t>
  </si>
  <si>
    <t xml:space="preserve">Total Support Cost</t>
  </si>
  <si>
    <t xml:space="preserve">Sales/Support Ratio</t>
  </si>
  <si>
    <t xml:space="preserve">Top 10 Highest Paid Employees</t>
  </si>
  <si>
    <t xml:space="preserve">Rank</t>
  </si>
  <si>
    <t xml:space="preserve">Monthly Salary</t>
  </si>
  <si>
    <t xml:space="preserve">ADMIN &amp; CONTROLS - ACCESS CONTROL MATRIX</t>
  </si>
  <si>
    <t xml:space="preserve">Role</t>
  </si>
  <si>
    <t xml:space="preserve">View Data</t>
  </si>
  <si>
    <t xml:space="preserve">Edit Salary</t>
  </si>
  <si>
    <t xml:space="preserve">Edit Target</t>
  </si>
  <si>
    <t xml:space="preserve">Edit Incentive</t>
  </si>
  <si>
    <t xml:space="preserve">Approve Bonus</t>
  </si>
  <si>
    <t xml:space="preserve">CEO/MD</t>
  </si>
  <si>
    <t xml:space="preserve">Yes</t>
  </si>
  <si>
    <t xml:space="preserve">CFO</t>
  </si>
  <si>
    <t xml:space="preserve">No</t>
  </si>
  <si>
    <t xml:space="preserve">Dept Head</t>
  </si>
  <si>
    <t xml:space="preserve">Own Dept</t>
  </si>
  <si>
    <t xml:space="preserve">Finance Team</t>
  </si>
  <si>
    <t xml:space="preserve">AUDIT LOG TEMPLATE</t>
  </si>
  <si>
    <t xml:space="preserve">Date</t>
  </si>
  <si>
    <t xml:space="preserve">Employee</t>
  </si>
  <si>
    <t xml:space="preserve">Old Value</t>
  </si>
  <si>
    <t xml:space="preserve">New Value</t>
  </si>
  <si>
    <t xml:space="preserve">Changed By</t>
  </si>
  <si>
    <t xml:space="preserve">Approved By</t>
  </si>
  <si>
    <t xml:space="preserve">Reason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</si>
</sst>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#,##0"/>
    <numFmt numFmtId="167" formatCode="0.0"/>
    <numFmt numFmtId="168" formatCode="0.00%"/>
    <numFmt numFmtId="169" formatCode="0.00"/>
    <numFmt numFmtId="170" formatCode="0%"/>
    <numFmt numFmtId="171" formatCode="0.0%"/>
    <numFmt numFmtId="172" formatCode="mm\-dd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F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F0"/>
      <rgbColor rgb="FFCCFFFF"/>
      <rgbColor rgb="FF660066"/>
      <rgbColor rgb="FFED7D3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B35"/>
      <rgbColor rgb="FF44546A"/>
      <rgbColor rgb="FF70AD47"/>
      <rgbColor rgb="FF1A365D"/>
      <rgbColor rgb="FF339966"/>
      <rgbColor rgb="FF003300"/>
      <rgbColor rgb="FF333300"/>
      <rgbColor rgb="FFC55A11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O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4" min="4" style="1" width="25"/>
    <col collapsed="false" customWidth="true" hidden="false" outlineLevel="0" max="7" min="5" style="1" width="15"/>
    <col collapsed="false" customWidth="true" hidden="false" outlineLevel="0" max="8" min="8" style="1" width="12"/>
    <col collapsed="false" customWidth="true" hidden="false" outlineLevel="0" max="10" min="9" style="1" width="15"/>
    <col collapsed="false" customWidth="true" hidden="false" outlineLevel="0" max="11" min="11" style="1" width="12"/>
    <col collapsed="false" customWidth="true" hidden="false" outlineLevel="0" max="15" min="12" style="1" width="15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true" outlineLevel="0" collapsed="false">
      <c r="A2" s="1" t="s">
        <v>15</v>
      </c>
      <c r="B2" s="1" t="s">
        <v>16</v>
      </c>
      <c r="C2" s="3" t="n">
        <v>41334</v>
      </c>
      <c r="D2" s="1" t="s">
        <v>17</v>
      </c>
      <c r="E2" s="1" t="s">
        <v>18</v>
      </c>
      <c r="F2" s="1" t="s">
        <v>19</v>
      </c>
      <c r="G2" s="4" t="n">
        <v>36017</v>
      </c>
      <c r="H2" s="1" t="s">
        <v>20</v>
      </c>
      <c r="I2" s="5" t="n">
        <f aca="false">G2*12</f>
        <v>432204</v>
      </c>
      <c r="J2" s="6" t="n">
        <f aca="true">IF(ISBLANK(C2),"",YEARFRAC(C2,TODAY()))</f>
        <v>13.0777777777778</v>
      </c>
      <c r="K2" s="7" t="str">
        <f aca="false">IFERROR(VLOOKUP(D2,$A$19:$C$200,2,0),"L6")</f>
        <v>L6</v>
      </c>
      <c r="L2" s="6" t="n">
        <f aca="false">IFERROR(VLOOKUP(D2,$A$19:$C$200,3,0),0)</f>
        <v>0</v>
      </c>
      <c r="M2" s="5" t="n">
        <f aca="false">G2*L2</f>
        <v>0</v>
      </c>
      <c r="N2" s="5" t="n">
        <f aca="false">M2*12</f>
        <v>0</v>
      </c>
      <c r="O2" s="5" t="n">
        <f aca="false">G2*1.6</f>
        <v>57627.2</v>
      </c>
    </row>
    <row r="3" customFormat="false" ht="15" hidden="false" customHeight="true" outlineLevel="0" collapsed="false">
      <c r="A3" s="1" t="s">
        <v>21</v>
      </c>
      <c r="B3" s="1" t="s">
        <v>22</v>
      </c>
      <c r="C3" s="3" t="n">
        <v>41897</v>
      </c>
      <c r="D3" s="1" t="s">
        <v>23</v>
      </c>
      <c r="E3" s="1" t="s">
        <v>18</v>
      </c>
      <c r="F3" s="1" t="s">
        <v>24</v>
      </c>
      <c r="G3" s="4" t="n">
        <v>21429</v>
      </c>
      <c r="H3" s="1" t="s">
        <v>20</v>
      </c>
      <c r="I3" s="5" t="n">
        <f aca="false">G3*12</f>
        <v>257148</v>
      </c>
      <c r="J3" s="6" t="n">
        <f aca="true">IF(ISBLANK(C3),"",YEARFRAC(C3,TODAY()))</f>
        <v>11.5388888888889</v>
      </c>
      <c r="K3" s="7" t="str">
        <f aca="false">IFERROR(VLOOKUP(D3,$A$19:$C$200,2,0),"L6")</f>
        <v>L6</v>
      </c>
      <c r="L3" s="6" t="n">
        <f aca="false">IFERROR(VLOOKUP(D3,$A$19:$C$200,3,0),0)</f>
        <v>0</v>
      </c>
      <c r="M3" s="5" t="n">
        <f aca="false">G3*L3</f>
        <v>0</v>
      </c>
      <c r="N3" s="5" t="n">
        <f aca="false">M3*12</f>
        <v>0</v>
      </c>
      <c r="O3" s="5" t="n">
        <f aca="false">G3*1.6</f>
        <v>34286.4</v>
      </c>
    </row>
    <row r="4" customFormat="false" ht="15" hidden="false" customHeight="true" outlineLevel="0" collapsed="false">
      <c r="A4" s="1" t="s">
        <v>25</v>
      </c>
      <c r="B4" s="1" t="s">
        <v>26</v>
      </c>
      <c r="C4" s="3" t="n">
        <v>43496</v>
      </c>
      <c r="D4" s="1" t="s">
        <v>27</v>
      </c>
      <c r="E4" s="1" t="s">
        <v>28</v>
      </c>
      <c r="F4" s="1" t="s">
        <v>19</v>
      </c>
      <c r="G4" s="4" t="n">
        <v>99751</v>
      </c>
      <c r="H4" s="1" t="s">
        <v>29</v>
      </c>
      <c r="I4" s="5" t="n">
        <f aca="false">G4*12</f>
        <v>1197012</v>
      </c>
      <c r="J4" s="6" t="n">
        <f aca="true">IF(ISBLANK(C4),"",YEARFRAC(C4,TODAY()))</f>
        <v>7.16388888888889</v>
      </c>
      <c r="K4" s="7" t="str">
        <f aca="false">IFERROR(VLOOKUP(D4,$A$19:$C$200,2,0),"L6")</f>
        <v>L6</v>
      </c>
      <c r="L4" s="6" t="n">
        <f aca="false">IFERROR(VLOOKUP(D4,$A$19:$C$200,3,0),0)</f>
        <v>0</v>
      </c>
      <c r="M4" s="5" t="n">
        <f aca="false">G4*L4</f>
        <v>0</v>
      </c>
      <c r="N4" s="5" t="n">
        <f aca="false">M4*12</f>
        <v>0</v>
      </c>
      <c r="O4" s="5" t="n">
        <f aca="false">G4*1.6</f>
        <v>159601.6</v>
      </c>
    </row>
    <row r="5" customFormat="false" ht="15" hidden="false" customHeight="true" outlineLevel="0" collapsed="false">
      <c r="A5" s="1" t="s">
        <v>30</v>
      </c>
      <c r="B5" s="1" t="s">
        <v>31</v>
      </c>
      <c r="C5" s="3" t="n">
        <v>44075</v>
      </c>
      <c r="D5" s="1" t="s">
        <v>32</v>
      </c>
      <c r="E5" s="1" t="s">
        <v>33</v>
      </c>
      <c r="F5" s="1" t="s">
        <v>19</v>
      </c>
      <c r="G5" s="4" t="n">
        <v>22449</v>
      </c>
      <c r="H5" s="1" t="s">
        <v>29</v>
      </c>
      <c r="I5" s="5" t="n">
        <f aca="false">G5*12</f>
        <v>269388</v>
      </c>
      <c r="J5" s="6" t="n">
        <f aca="true">IF(ISBLANK(C5),"",YEARFRAC(C5,TODAY()))</f>
        <v>5.57777777777778</v>
      </c>
      <c r="K5" s="7" t="str">
        <f aca="false">IFERROR(VLOOKUP(D5,$A$19:$C$200,2,0),"L6")</f>
        <v>L6</v>
      </c>
      <c r="L5" s="6" t="n">
        <f aca="false">IFERROR(VLOOKUP(D5,$A$19:$C$200,3,0),0)</f>
        <v>0</v>
      </c>
      <c r="M5" s="5" t="n">
        <f aca="false">G5*L5</f>
        <v>0</v>
      </c>
      <c r="N5" s="5" t="n">
        <f aca="false">M5*12</f>
        <v>0</v>
      </c>
      <c r="O5" s="5" t="n">
        <f aca="false">G5*1.6</f>
        <v>35918.4</v>
      </c>
    </row>
    <row r="6" customFormat="false" ht="15" hidden="false" customHeight="true" outlineLevel="0" collapsed="false">
      <c r="A6" s="1" t="s">
        <v>34</v>
      </c>
      <c r="B6" s="1" t="s">
        <v>35</v>
      </c>
      <c r="C6" s="3" t="n">
        <v>44151</v>
      </c>
      <c r="D6" s="1" t="s">
        <v>36</v>
      </c>
      <c r="E6" s="1" t="s">
        <v>18</v>
      </c>
      <c r="F6" s="1" t="s">
        <v>37</v>
      </c>
      <c r="G6" s="4" t="n">
        <v>22263</v>
      </c>
      <c r="H6" s="1" t="s">
        <v>20</v>
      </c>
      <c r="I6" s="5" t="n">
        <f aca="false">G6*12</f>
        <v>267156</v>
      </c>
      <c r="J6" s="6" t="n">
        <f aca="true">IF(ISBLANK(C6),"",YEARFRAC(C6,TODAY()))</f>
        <v>5.36944444444444</v>
      </c>
      <c r="K6" s="7" t="str">
        <f aca="false">IFERROR(VLOOKUP(D6,$A$19:$C$200,2,0),"L6")</f>
        <v>L6</v>
      </c>
      <c r="L6" s="6" t="n">
        <f aca="false">IFERROR(VLOOKUP(D6,$A$19:$C$200,3,0),0)</f>
        <v>0</v>
      </c>
      <c r="M6" s="5" t="n">
        <f aca="false">G6*L6</f>
        <v>0</v>
      </c>
      <c r="N6" s="5" t="n">
        <f aca="false">M6*12</f>
        <v>0</v>
      </c>
      <c r="O6" s="5" t="n">
        <f aca="false">G6*1.6</f>
        <v>35620.8</v>
      </c>
    </row>
    <row r="7" customFormat="false" ht="15" hidden="false" customHeight="true" outlineLevel="0" collapsed="false">
      <c r="A7" s="1" t="s">
        <v>38</v>
      </c>
      <c r="B7" s="1" t="s">
        <v>39</v>
      </c>
      <c r="C7" s="3" t="n">
        <v>44383</v>
      </c>
      <c r="D7" s="1" t="s">
        <v>40</v>
      </c>
      <c r="E7" s="1" t="s">
        <v>33</v>
      </c>
      <c r="F7" s="1" t="s">
        <v>19</v>
      </c>
      <c r="G7" s="4" t="n">
        <v>40440</v>
      </c>
      <c r="H7" s="1" t="s">
        <v>29</v>
      </c>
      <c r="I7" s="5" t="n">
        <f aca="false">G7*12</f>
        <v>485280</v>
      </c>
      <c r="J7" s="6" t="n">
        <f aca="true">IF(ISBLANK(C7),"",YEARFRAC(C7,TODAY()))</f>
        <v>4.73055555555556</v>
      </c>
      <c r="K7" s="7" t="str">
        <f aca="false">IFERROR(VLOOKUP(D7,$A$19:$C$200,2,0),"L6")</f>
        <v>L6</v>
      </c>
      <c r="L7" s="6" t="n">
        <f aca="false">IFERROR(VLOOKUP(D7,$A$19:$C$200,3,0),0)</f>
        <v>0</v>
      </c>
      <c r="M7" s="5" t="n">
        <f aca="false">G7*L7</f>
        <v>0</v>
      </c>
      <c r="N7" s="5" t="n">
        <f aca="false">M7*12</f>
        <v>0</v>
      </c>
      <c r="O7" s="5" t="n">
        <f aca="false">G7*1.6</f>
        <v>64704</v>
      </c>
    </row>
    <row r="8" customFormat="false" ht="15" hidden="false" customHeight="true" outlineLevel="0" collapsed="false">
      <c r="A8" s="1" t="s">
        <v>41</v>
      </c>
      <c r="B8" s="1" t="s">
        <v>42</v>
      </c>
      <c r="C8" s="3" t="n">
        <v>44386</v>
      </c>
      <c r="D8" s="1" t="s">
        <v>43</v>
      </c>
      <c r="E8" s="1" t="s">
        <v>18</v>
      </c>
      <c r="F8" s="1" t="s">
        <v>19</v>
      </c>
      <c r="G8" s="4" t="n">
        <v>30000</v>
      </c>
      <c r="H8" s="1" t="s">
        <v>20</v>
      </c>
      <c r="I8" s="5" t="n">
        <f aca="false">G8*12</f>
        <v>360000</v>
      </c>
      <c r="J8" s="6" t="n">
        <f aca="true">IF(ISBLANK(C8),"",YEARFRAC(C8,TODAY()))</f>
        <v>4.72222222222222</v>
      </c>
      <c r="K8" s="7" t="str">
        <f aca="false">IFERROR(VLOOKUP(D8,$A$19:$C$200,2,0),"L6")</f>
        <v>L6</v>
      </c>
      <c r="L8" s="6" t="n">
        <f aca="false">IFERROR(VLOOKUP(D8,$A$19:$C$200,3,0),0)</f>
        <v>0</v>
      </c>
      <c r="M8" s="5" t="n">
        <f aca="false">G8*L8</f>
        <v>0</v>
      </c>
      <c r="N8" s="5" t="n">
        <f aca="false">M8*12</f>
        <v>0</v>
      </c>
      <c r="O8" s="5" t="n">
        <f aca="false">G8*1.6</f>
        <v>48000</v>
      </c>
    </row>
    <row r="9" customFormat="false" ht="15" hidden="false" customHeight="true" outlineLevel="0" collapsed="false">
      <c r="A9" s="1" t="s">
        <v>44</v>
      </c>
      <c r="B9" s="1" t="s">
        <v>45</v>
      </c>
      <c r="C9" s="3" t="n">
        <v>44406</v>
      </c>
      <c r="D9" s="1" t="s">
        <v>36</v>
      </c>
      <c r="E9" s="1" t="s">
        <v>46</v>
      </c>
      <c r="F9" s="1" t="s">
        <v>37</v>
      </c>
      <c r="G9" s="4" t="n">
        <v>34500</v>
      </c>
      <c r="H9" s="1" t="s">
        <v>29</v>
      </c>
      <c r="I9" s="5" t="n">
        <f aca="false">G9*12</f>
        <v>414000</v>
      </c>
      <c r="J9" s="6" t="n">
        <f aca="true">IF(ISBLANK(C9),"",YEARFRAC(C9,TODAY()))</f>
        <v>4.66666666666667</v>
      </c>
      <c r="K9" s="7" t="str">
        <f aca="false">IFERROR(VLOOKUP(D9,$A$19:$C$200,2,0),"L6")</f>
        <v>L6</v>
      </c>
      <c r="L9" s="6" t="n">
        <f aca="false">IFERROR(VLOOKUP(D9,$A$19:$C$200,3,0),0)</f>
        <v>0</v>
      </c>
      <c r="M9" s="5" t="n">
        <f aca="false">G9*L9</f>
        <v>0</v>
      </c>
      <c r="N9" s="5" t="n">
        <f aca="false">M9*12</f>
        <v>0</v>
      </c>
      <c r="O9" s="5" t="n">
        <f aca="false">G9*1.6</f>
        <v>55200</v>
      </c>
    </row>
    <row r="10" customFormat="false" ht="15" hidden="false" customHeight="true" outlineLevel="0" collapsed="false">
      <c r="A10" s="1" t="s">
        <v>47</v>
      </c>
      <c r="B10" s="1" t="s">
        <v>48</v>
      </c>
      <c r="C10" s="3" t="n">
        <v>44734</v>
      </c>
      <c r="D10" s="1" t="s">
        <v>49</v>
      </c>
      <c r="E10" s="1" t="s">
        <v>50</v>
      </c>
      <c r="F10" s="1" t="s">
        <v>19</v>
      </c>
      <c r="G10" s="4" t="n">
        <v>90000</v>
      </c>
      <c r="H10" s="1" t="s">
        <v>20</v>
      </c>
      <c r="I10" s="5" t="n">
        <f aca="false">G10*12</f>
        <v>1080000</v>
      </c>
      <c r="J10" s="6" t="n">
        <f aca="true">IF(ISBLANK(C10),"",YEARFRAC(C10,TODAY()))</f>
        <v>3.76944444444444</v>
      </c>
      <c r="K10" s="7" t="str">
        <f aca="false">IFERROR(VLOOKUP(D10,$A$19:$C$200,2,0),"L6")</f>
        <v>L6</v>
      </c>
      <c r="L10" s="6" t="n">
        <f aca="false">IFERROR(VLOOKUP(D10,$A$19:$C$200,3,0),0)</f>
        <v>0</v>
      </c>
      <c r="M10" s="5" t="n">
        <f aca="false">G10*L10</f>
        <v>0</v>
      </c>
      <c r="N10" s="5" t="n">
        <f aca="false">M10*12</f>
        <v>0</v>
      </c>
      <c r="O10" s="5" t="n">
        <f aca="false">G10*1.6</f>
        <v>144000</v>
      </c>
    </row>
    <row r="11" customFormat="false" ht="15" hidden="false" customHeight="true" outlineLevel="0" collapsed="false">
      <c r="A11" s="1" t="s">
        <v>51</v>
      </c>
      <c r="B11" s="1" t="s">
        <v>52</v>
      </c>
      <c r="C11" s="3" t="n">
        <v>44805</v>
      </c>
      <c r="D11" s="1" t="s">
        <v>36</v>
      </c>
      <c r="E11" s="1" t="s">
        <v>18</v>
      </c>
      <c r="F11" s="1" t="s">
        <v>37</v>
      </c>
      <c r="G11" s="4" t="n">
        <v>16749</v>
      </c>
      <c r="H11" s="1" t="s">
        <v>20</v>
      </c>
      <c r="I11" s="5" t="n">
        <f aca="false">G11*12</f>
        <v>200988</v>
      </c>
      <c r="J11" s="6" t="n">
        <f aca="true">IF(ISBLANK(C11),"",YEARFRAC(C11,TODAY()))</f>
        <v>3.57777777777778</v>
      </c>
      <c r="K11" s="7" t="str">
        <f aca="false">IFERROR(VLOOKUP(D11,$A$19:$C$200,2,0),"L6")</f>
        <v>L6</v>
      </c>
      <c r="L11" s="6" t="n">
        <f aca="false">IFERROR(VLOOKUP(D11,$A$19:$C$200,3,0),0)</f>
        <v>0</v>
      </c>
      <c r="M11" s="5" t="n">
        <f aca="false">G11*L11</f>
        <v>0</v>
      </c>
      <c r="N11" s="5" t="n">
        <f aca="false">M11*12</f>
        <v>0</v>
      </c>
      <c r="O11" s="5" t="n">
        <f aca="false">G11*1.6</f>
        <v>26798.4</v>
      </c>
    </row>
    <row r="12" customFormat="false" ht="15" hidden="false" customHeight="true" outlineLevel="0" collapsed="false">
      <c r="A12" s="1" t="s">
        <v>53</v>
      </c>
      <c r="B12" s="1" t="s">
        <v>54</v>
      </c>
      <c r="C12" s="3" t="n">
        <v>44929</v>
      </c>
      <c r="D12" s="1" t="s">
        <v>55</v>
      </c>
      <c r="E12" s="1" t="s">
        <v>24</v>
      </c>
      <c r="F12" s="1" t="s">
        <v>56</v>
      </c>
      <c r="G12" s="4" t="n">
        <v>46876</v>
      </c>
      <c r="H12" s="1" t="s">
        <v>29</v>
      </c>
      <c r="I12" s="5" t="n">
        <f aca="false">G12*12</f>
        <v>562512</v>
      </c>
      <c r="J12" s="6" t="n">
        <f aca="true">IF(ISBLANK(C12),"",YEARFRAC(C12,TODAY()))</f>
        <v>3.23888888888889</v>
      </c>
      <c r="K12" s="7" t="str">
        <f aca="false">IFERROR(VLOOKUP(D12,$A$19:$C$200,2,0),"L6")</f>
        <v>L6</v>
      </c>
      <c r="L12" s="6" t="n">
        <f aca="false">IFERROR(VLOOKUP(D12,$A$19:$C$200,3,0),0)</f>
        <v>0</v>
      </c>
      <c r="M12" s="5" t="n">
        <f aca="false">G12*L12</f>
        <v>0</v>
      </c>
      <c r="N12" s="5" t="n">
        <f aca="false">M12*12</f>
        <v>0</v>
      </c>
      <c r="O12" s="5" t="n">
        <f aca="false">G12*1.6</f>
        <v>75001.6</v>
      </c>
    </row>
    <row r="13" customFormat="false" ht="15" hidden="false" customHeight="true" outlineLevel="0" collapsed="false">
      <c r="A13" s="1" t="s">
        <v>57</v>
      </c>
      <c r="B13" s="1" t="s">
        <v>58</v>
      </c>
      <c r="C13" s="3" t="n">
        <v>44977</v>
      </c>
      <c r="D13" s="1" t="s">
        <v>59</v>
      </c>
      <c r="E13" s="1" t="s">
        <v>33</v>
      </c>
      <c r="F13" s="1" t="s">
        <v>60</v>
      </c>
      <c r="G13" s="4" t="n">
        <v>29700</v>
      </c>
      <c r="H13" s="1" t="s">
        <v>29</v>
      </c>
      <c r="I13" s="5" t="n">
        <f aca="false">G13*12</f>
        <v>356400</v>
      </c>
      <c r="J13" s="6" t="n">
        <f aca="true">IF(ISBLANK(C13),"",YEARFRAC(C13,TODAY()))</f>
        <v>3.10833333333333</v>
      </c>
      <c r="K13" s="7" t="str">
        <f aca="false">IFERROR(VLOOKUP(D13,$A$19:$C$200,2,0),"L6")</f>
        <v>L6</v>
      </c>
      <c r="L13" s="6" t="n">
        <f aca="false">IFERROR(VLOOKUP(D13,$A$19:$C$200,3,0),0)</f>
        <v>0</v>
      </c>
      <c r="M13" s="5" t="n">
        <f aca="false">G13*L13</f>
        <v>0</v>
      </c>
      <c r="N13" s="5" t="n">
        <f aca="false">M13*12</f>
        <v>0</v>
      </c>
      <c r="O13" s="5" t="n">
        <f aca="false">G13*1.6</f>
        <v>47520</v>
      </c>
    </row>
    <row r="14" customFormat="false" ht="15" hidden="false" customHeight="true" outlineLevel="0" collapsed="false">
      <c r="A14" s="1" t="s">
        <v>61</v>
      </c>
      <c r="B14" s="1" t="s">
        <v>62</v>
      </c>
      <c r="C14" s="3" t="n">
        <v>45078</v>
      </c>
      <c r="D14" s="1" t="s">
        <v>40</v>
      </c>
      <c r="E14" s="1" t="s">
        <v>28</v>
      </c>
      <c r="F14" s="1" t="s">
        <v>19</v>
      </c>
      <c r="G14" s="4" t="n">
        <v>43700</v>
      </c>
      <c r="H14" s="1" t="s">
        <v>29</v>
      </c>
      <c r="I14" s="5" t="n">
        <f aca="false">G14*12</f>
        <v>524400</v>
      </c>
      <c r="J14" s="6" t="n">
        <f aca="true">IF(ISBLANK(C14),"",YEARFRAC(C14,TODAY()))</f>
        <v>2.82777777777778</v>
      </c>
      <c r="K14" s="7" t="str">
        <f aca="false">IFERROR(VLOOKUP(D14,$A$19:$C$200,2,0),"L6")</f>
        <v>L6</v>
      </c>
      <c r="L14" s="6" t="n">
        <f aca="false">IFERROR(VLOOKUP(D14,$A$19:$C$200,3,0),0)</f>
        <v>0</v>
      </c>
      <c r="M14" s="5" t="n">
        <f aca="false">G14*L14</f>
        <v>0</v>
      </c>
      <c r="N14" s="5" t="n">
        <f aca="false">M14*12</f>
        <v>0</v>
      </c>
      <c r="O14" s="5" t="n">
        <f aca="false">G14*1.6</f>
        <v>69920</v>
      </c>
    </row>
    <row r="15" customFormat="false" ht="15" hidden="false" customHeight="true" outlineLevel="0" collapsed="false">
      <c r="A15" s="1" t="s">
        <v>63</v>
      </c>
      <c r="B15" s="1" t="s">
        <v>64</v>
      </c>
      <c r="C15" s="3" t="n">
        <v>45202</v>
      </c>
      <c r="D15" s="1" t="s">
        <v>36</v>
      </c>
      <c r="E15" s="1" t="s">
        <v>18</v>
      </c>
      <c r="F15" s="1" t="s">
        <v>37</v>
      </c>
      <c r="G15" s="4" t="n">
        <v>14858</v>
      </c>
      <c r="H15" s="1" t="s">
        <v>20</v>
      </c>
      <c r="I15" s="5" t="n">
        <f aca="false">G15*12</f>
        <v>178296</v>
      </c>
      <c r="J15" s="6" t="n">
        <f aca="true">IF(ISBLANK(C15),"",YEARFRAC(C15,TODAY()))</f>
        <v>2.48888888888889</v>
      </c>
      <c r="K15" s="7" t="str">
        <f aca="false">IFERROR(VLOOKUP(D15,$A$19:$C$200,2,0),"L6")</f>
        <v>L6</v>
      </c>
      <c r="L15" s="6" t="n">
        <f aca="false">IFERROR(VLOOKUP(D15,$A$19:$C$200,3,0),0)</f>
        <v>0</v>
      </c>
      <c r="M15" s="5" t="n">
        <f aca="false">G15*L15</f>
        <v>0</v>
      </c>
      <c r="N15" s="5" t="n">
        <f aca="false">M15*12</f>
        <v>0</v>
      </c>
      <c r="O15" s="5" t="n">
        <f aca="false">G15*1.6</f>
        <v>23772.8</v>
      </c>
    </row>
    <row r="16" customFormat="false" ht="15" hidden="false" customHeight="true" outlineLevel="0" collapsed="false">
      <c r="A16" s="1" t="s">
        <v>65</v>
      </c>
      <c r="B16" s="1" t="s">
        <v>66</v>
      </c>
      <c r="C16" s="3" t="n">
        <v>45204</v>
      </c>
      <c r="D16" s="1" t="s">
        <v>67</v>
      </c>
      <c r="E16" s="1" t="s">
        <v>46</v>
      </c>
      <c r="F16" s="1" t="s">
        <v>19</v>
      </c>
      <c r="G16" s="4" t="n">
        <v>103500</v>
      </c>
      <c r="H16" s="1" t="s">
        <v>29</v>
      </c>
      <c r="I16" s="5" t="n">
        <f aca="false">G16*12</f>
        <v>1242000</v>
      </c>
      <c r="J16" s="6" t="n">
        <f aca="true">IF(ISBLANK(C16),"",YEARFRAC(C16,TODAY()))</f>
        <v>2.48333333333333</v>
      </c>
      <c r="K16" s="7" t="str">
        <f aca="false">IFERROR(VLOOKUP(D16,$A$19:$C$200,2,0),"L6")</f>
        <v>L6</v>
      </c>
      <c r="L16" s="6" t="n">
        <f aca="false">IFERROR(VLOOKUP(D16,$A$19:$C$200,3,0),0)</f>
        <v>0</v>
      </c>
      <c r="M16" s="5" t="n">
        <f aca="false">G16*L16</f>
        <v>0</v>
      </c>
      <c r="N16" s="5" t="n">
        <f aca="false">M16*12</f>
        <v>0</v>
      </c>
      <c r="O16" s="5" t="n">
        <f aca="false">G16*1.6</f>
        <v>165600</v>
      </c>
    </row>
    <row r="17" customFormat="false" ht="15" hidden="false" customHeight="true" outlineLevel="0" collapsed="false">
      <c r="A17" s="1" t="s">
        <v>68</v>
      </c>
      <c r="B17" s="1" t="s">
        <v>69</v>
      </c>
      <c r="C17" s="3" t="n">
        <v>45337</v>
      </c>
      <c r="D17" s="1" t="s">
        <v>70</v>
      </c>
      <c r="E17" s="1" t="s">
        <v>71</v>
      </c>
      <c r="F17" s="1" t="s">
        <v>24</v>
      </c>
      <c r="G17" s="4" t="n">
        <v>54000</v>
      </c>
      <c r="H17" s="1" t="s">
        <v>20</v>
      </c>
      <c r="I17" s="5" t="n">
        <f aca="false">G17*12</f>
        <v>648000</v>
      </c>
      <c r="J17" s="6" t="n">
        <f aca="true">IF(ISBLANK(C17),"",YEARFRAC(C17,TODAY()))</f>
        <v>2.12222222222222</v>
      </c>
      <c r="K17" s="7" t="str">
        <f aca="false">IFERROR(VLOOKUP(D17,$A$19:$C$200,2,0),"L6")</f>
        <v>L6</v>
      </c>
      <c r="L17" s="6" t="n">
        <f aca="false">IFERROR(VLOOKUP(D17,$A$19:$C$200,3,0),0)</f>
        <v>0</v>
      </c>
      <c r="M17" s="5" t="n">
        <f aca="false">G17*L17</f>
        <v>0</v>
      </c>
      <c r="N17" s="5" t="n">
        <f aca="false">M17*12</f>
        <v>0</v>
      </c>
      <c r="O17" s="5" t="n">
        <f aca="false">G17*1.6</f>
        <v>86400</v>
      </c>
    </row>
    <row r="18" customFormat="false" ht="15" hidden="false" customHeight="true" outlineLevel="0" collapsed="false">
      <c r="A18" s="1" t="s">
        <v>72</v>
      </c>
      <c r="B18" s="1" t="s">
        <v>73</v>
      </c>
      <c r="C18" s="3" t="n">
        <v>45444</v>
      </c>
      <c r="D18" s="1" t="s">
        <v>36</v>
      </c>
      <c r="E18" s="1" t="s">
        <v>46</v>
      </c>
      <c r="F18" s="1" t="s">
        <v>37</v>
      </c>
      <c r="G18" s="4" t="n">
        <v>15691</v>
      </c>
      <c r="H18" s="1" t="s">
        <v>29</v>
      </c>
      <c r="I18" s="5" t="n">
        <f aca="false">G18*12</f>
        <v>188292</v>
      </c>
      <c r="J18" s="6" t="n">
        <f aca="true">IF(ISBLANK(C18),"",YEARFRAC(C18,TODAY()))</f>
        <v>1.82777777777778</v>
      </c>
      <c r="K18" s="7" t="str">
        <f aca="false">IFERROR(VLOOKUP(D18,$A$19:$C$200,2,0),"L6")</f>
        <v>L6</v>
      </c>
      <c r="L18" s="6" t="n">
        <f aca="false">IFERROR(VLOOKUP(D18,$A$19:$C$200,3,0),0)</f>
        <v>0</v>
      </c>
      <c r="M18" s="5" t="n">
        <f aca="false">G18*L18</f>
        <v>0</v>
      </c>
      <c r="N18" s="5" t="n">
        <f aca="false">M18*12</f>
        <v>0</v>
      </c>
      <c r="O18" s="5" t="n">
        <f aca="false">G18*1.6</f>
        <v>25105.6</v>
      </c>
    </row>
    <row r="19" customFormat="false" ht="15" hidden="false" customHeight="true" outlineLevel="0" collapsed="false">
      <c r="A19" s="1" t="s">
        <v>74</v>
      </c>
      <c r="B19" s="1" t="s">
        <v>75</v>
      </c>
      <c r="C19" s="3" t="n">
        <v>45474</v>
      </c>
      <c r="D19" s="1" t="s">
        <v>36</v>
      </c>
      <c r="E19" s="1" t="s">
        <v>18</v>
      </c>
      <c r="F19" s="1" t="s">
        <v>19</v>
      </c>
      <c r="G19" s="4" t="n">
        <v>18011</v>
      </c>
      <c r="H19" s="1" t="s">
        <v>20</v>
      </c>
      <c r="I19" s="5" t="n">
        <f aca="false">G19*12</f>
        <v>216132</v>
      </c>
      <c r="J19" s="6" t="n">
        <f aca="true">IF(ISBLANK(C19),"",YEARFRAC(C19,TODAY()))</f>
        <v>1.74444444444444</v>
      </c>
      <c r="K19" s="7" t="str">
        <f aca="false">IFERROR(VLOOKUP(D19,$A$19:$C$200,2,0),"L6")</f>
        <v>L6</v>
      </c>
      <c r="L19" s="6" t="n">
        <f aca="false">IFERROR(VLOOKUP(D19,$A$19:$C$200,3,0),0)</f>
        <v>0</v>
      </c>
      <c r="M19" s="5" t="n">
        <f aca="false">G19*L19</f>
        <v>0</v>
      </c>
      <c r="N19" s="5" t="n">
        <f aca="false">M19*12</f>
        <v>0</v>
      </c>
      <c r="O19" s="5" t="n">
        <f aca="false">G19*1.6</f>
        <v>28817.6</v>
      </c>
    </row>
    <row r="20" customFormat="false" ht="15" hidden="false" customHeight="true" outlineLevel="0" collapsed="false">
      <c r="A20" s="1" t="s">
        <v>76</v>
      </c>
      <c r="B20" s="1" t="s">
        <v>77</v>
      </c>
      <c r="C20" s="3" t="n">
        <v>45474</v>
      </c>
      <c r="D20" s="1" t="s">
        <v>36</v>
      </c>
      <c r="E20" s="1" t="s">
        <v>18</v>
      </c>
      <c r="F20" s="1" t="s">
        <v>37</v>
      </c>
      <c r="G20" s="4" t="n">
        <v>22449</v>
      </c>
      <c r="H20" s="1" t="s">
        <v>20</v>
      </c>
      <c r="I20" s="5" t="n">
        <f aca="false">G20*12</f>
        <v>269388</v>
      </c>
      <c r="J20" s="6" t="n">
        <f aca="true">IF(ISBLANK(C20),"",YEARFRAC(C20,TODAY()))</f>
        <v>1.74444444444444</v>
      </c>
      <c r="K20" s="7" t="str">
        <f aca="false">IFERROR(VLOOKUP(D20,$A$19:$C$200,2,0),"L6")</f>
        <v>L6</v>
      </c>
      <c r="L20" s="6" t="n">
        <f aca="false">IFERROR(VLOOKUP(D20,$A$19:$C$200,3,0),0)</f>
        <v>0</v>
      </c>
      <c r="M20" s="5" t="n">
        <f aca="false">G20*L20</f>
        <v>0</v>
      </c>
      <c r="N20" s="5" t="n">
        <f aca="false">M20*12</f>
        <v>0</v>
      </c>
      <c r="O20" s="5" t="n">
        <f aca="false">G20*1.6</f>
        <v>35918.4</v>
      </c>
    </row>
    <row r="21" customFormat="false" ht="15" hidden="false" customHeight="true" outlineLevel="0" collapsed="false">
      <c r="A21" s="1" t="s">
        <v>78</v>
      </c>
      <c r="B21" s="1" t="s">
        <v>79</v>
      </c>
      <c r="C21" s="3" t="n">
        <v>45474</v>
      </c>
      <c r="D21" s="1" t="s">
        <v>80</v>
      </c>
      <c r="E21" s="1" t="s">
        <v>81</v>
      </c>
      <c r="F21" s="1" t="s">
        <v>19</v>
      </c>
      <c r="G21" s="4" t="n">
        <v>27008</v>
      </c>
      <c r="H21" s="1" t="s">
        <v>20</v>
      </c>
      <c r="I21" s="5" t="n">
        <f aca="false">G21*12</f>
        <v>324096</v>
      </c>
      <c r="J21" s="6" t="n">
        <f aca="true">IF(ISBLANK(C21),"",YEARFRAC(C21,TODAY()))</f>
        <v>1.74444444444444</v>
      </c>
      <c r="K21" s="7" t="str">
        <f aca="false">IFERROR(VLOOKUP(D21,$A$19:$C$200,2,0),"L6")</f>
        <v>L6</v>
      </c>
      <c r="L21" s="6" t="n">
        <f aca="false">IFERROR(VLOOKUP(D21,$A$19:$C$200,3,0),0)</f>
        <v>0</v>
      </c>
      <c r="M21" s="5" t="n">
        <f aca="false">G21*L21</f>
        <v>0</v>
      </c>
      <c r="N21" s="5" t="n">
        <f aca="false">M21*12</f>
        <v>0</v>
      </c>
      <c r="O21" s="5" t="n">
        <f aca="false">G21*1.6</f>
        <v>43212.8</v>
      </c>
    </row>
    <row r="22" customFormat="false" ht="15" hidden="false" customHeight="true" outlineLevel="0" collapsed="false">
      <c r="A22" s="1" t="s">
        <v>82</v>
      </c>
      <c r="B22" s="1" t="s">
        <v>83</v>
      </c>
      <c r="C22" s="3" t="n">
        <v>45474</v>
      </c>
      <c r="D22" s="1" t="s">
        <v>40</v>
      </c>
      <c r="E22" s="1" t="s">
        <v>50</v>
      </c>
      <c r="F22" s="1" t="s">
        <v>19</v>
      </c>
      <c r="G22" s="4" t="n">
        <v>43200</v>
      </c>
      <c r="H22" s="1" t="s">
        <v>29</v>
      </c>
      <c r="I22" s="5" t="n">
        <f aca="false">G22*12</f>
        <v>518400</v>
      </c>
      <c r="J22" s="6" t="n">
        <f aca="true">IF(ISBLANK(C22),"",YEARFRAC(C22,TODAY()))</f>
        <v>1.74444444444444</v>
      </c>
      <c r="K22" s="7" t="str">
        <f aca="false">IFERROR(VLOOKUP(D22,$A$19:$C$200,2,0),"L6")</f>
        <v>L6</v>
      </c>
      <c r="L22" s="6" t="n">
        <f aca="false">IFERROR(VLOOKUP(D22,$A$19:$C$200,3,0),0)</f>
        <v>0</v>
      </c>
      <c r="M22" s="5" t="n">
        <f aca="false">G22*L22</f>
        <v>0</v>
      </c>
      <c r="N22" s="5" t="n">
        <f aca="false">M22*12</f>
        <v>0</v>
      </c>
      <c r="O22" s="5" t="n">
        <f aca="false">G22*1.6</f>
        <v>69120</v>
      </c>
    </row>
    <row r="23" customFormat="false" ht="15" hidden="false" customHeight="true" outlineLevel="0" collapsed="false">
      <c r="A23" s="1" t="s">
        <v>84</v>
      </c>
      <c r="B23" s="1" t="s">
        <v>85</v>
      </c>
      <c r="C23" s="3" t="n">
        <v>45523</v>
      </c>
      <c r="D23" s="1" t="s">
        <v>86</v>
      </c>
      <c r="E23" s="1" t="s">
        <v>87</v>
      </c>
      <c r="F23" s="1" t="s">
        <v>19</v>
      </c>
      <c r="G23" s="4" t="n">
        <v>28200</v>
      </c>
      <c r="H23" s="1" t="s">
        <v>20</v>
      </c>
      <c r="I23" s="5" t="n">
        <f aca="false">G23*12</f>
        <v>338400</v>
      </c>
      <c r="J23" s="6" t="n">
        <f aca="true">IF(ISBLANK(C23),"",YEARFRAC(C23,TODAY()))</f>
        <v>1.61111111111111</v>
      </c>
      <c r="K23" s="7" t="str">
        <f aca="false">IFERROR(VLOOKUP(D23,$A$19:$C$200,2,0),"L6")</f>
        <v>L6</v>
      </c>
      <c r="L23" s="6" t="n">
        <f aca="false">IFERROR(VLOOKUP(D23,$A$19:$C$200,3,0),0)</f>
        <v>0</v>
      </c>
      <c r="M23" s="5" t="n">
        <f aca="false">G23*L23</f>
        <v>0</v>
      </c>
      <c r="N23" s="5" t="n">
        <f aca="false">M23*12</f>
        <v>0</v>
      </c>
      <c r="O23" s="5" t="n">
        <f aca="false">G23*1.6</f>
        <v>45120</v>
      </c>
    </row>
    <row r="24" customFormat="false" ht="15" hidden="false" customHeight="true" outlineLevel="0" collapsed="false">
      <c r="A24" s="1" t="s">
        <v>88</v>
      </c>
      <c r="B24" s="1" t="s">
        <v>89</v>
      </c>
      <c r="C24" s="3" t="n">
        <v>45537</v>
      </c>
      <c r="D24" s="1" t="s">
        <v>90</v>
      </c>
      <c r="E24" s="1" t="s">
        <v>50</v>
      </c>
      <c r="F24" s="1" t="s">
        <v>19</v>
      </c>
      <c r="G24" s="4" t="n">
        <v>28200</v>
      </c>
      <c r="H24" s="1" t="s">
        <v>20</v>
      </c>
      <c r="I24" s="5" t="n">
        <f aca="false">G24*12</f>
        <v>338400</v>
      </c>
      <c r="J24" s="6" t="n">
        <f aca="true">IF(ISBLANK(C24),"",YEARFRAC(C24,TODAY()))</f>
        <v>1.575</v>
      </c>
      <c r="K24" s="7" t="str">
        <f aca="false">IFERROR(VLOOKUP(D24,$A$19:$C$200,2,0),"L6")</f>
        <v>L6</v>
      </c>
      <c r="L24" s="6" t="n">
        <f aca="false">IFERROR(VLOOKUP(D24,$A$19:$C$200,3,0),0)</f>
        <v>0</v>
      </c>
      <c r="M24" s="5" t="n">
        <f aca="false">G24*L24</f>
        <v>0</v>
      </c>
      <c r="N24" s="5" t="n">
        <f aca="false">M24*12</f>
        <v>0</v>
      </c>
      <c r="O24" s="5" t="n">
        <f aca="false">G24*1.6</f>
        <v>45120</v>
      </c>
    </row>
    <row r="25" customFormat="false" ht="15" hidden="false" customHeight="true" outlineLevel="0" collapsed="false">
      <c r="A25" s="1" t="s">
        <v>91</v>
      </c>
      <c r="B25" s="1" t="s">
        <v>92</v>
      </c>
      <c r="C25" s="3" t="n">
        <v>45600</v>
      </c>
      <c r="D25" s="1" t="s">
        <v>36</v>
      </c>
      <c r="E25" s="1" t="s">
        <v>33</v>
      </c>
      <c r="F25" s="1" t="s">
        <v>60</v>
      </c>
      <c r="G25" s="4" t="n">
        <v>23200</v>
      </c>
      <c r="H25" s="1" t="s">
        <v>29</v>
      </c>
      <c r="I25" s="5" t="n">
        <f aca="false">G25*12</f>
        <v>278400</v>
      </c>
      <c r="J25" s="6" t="n">
        <f aca="true">IF(ISBLANK(C25),"",YEARFRAC(C25,TODAY()))</f>
        <v>1.40277777777778</v>
      </c>
      <c r="K25" s="7" t="str">
        <f aca="false">IFERROR(VLOOKUP(D25,$A$19:$C$200,2,0),"L6")</f>
        <v>L6</v>
      </c>
      <c r="L25" s="6" t="n">
        <f aca="false">IFERROR(VLOOKUP(D25,$A$19:$C$200,3,0),0)</f>
        <v>0</v>
      </c>
      <c r="M25" s="5" t="n">
        <f aca="false">G25*L25</f>
        <v>0</v>
      </c>
      <c r="N25" s="5" t="n">
        <f aca="false">M25*12</f>
        <v>0</v>
      </c>
      <c r="O25" s="5" t="n">
        <f aca="false">G25*1.6</f>
        <v>37120</v>
      </c>
    </row>
    <row r="26" customFormat="false" ht="15" hidden="false" customHeight="true" outlineLevel="0" collapsed="false">
      <c r="A26" s="1" t="s">
        <v>93</v>
      </c>
      <c r="B26" s="1" t="s">
        <v>94</v>
      </c>
      <c r="C26" s="3" t="n">
        <v>45600</v>
      </c>
      <c r="D26" s="1" t="s">
        <v>36</v>
      </c>
      <c r="E26" s="1" t="s">
        <v>33</v>
      </c>
      <c r="F26" s="1" t="s">
        <v>60</v>
      </c>
      <c r="G26" s="4" t="n">
        <v>23200</v>
      </c>
      <c r="H26" s="1" t="s">
        <v>29</v>
      </c>
      <c r="I26" s="5" t="n">
        <f aca="false">G26*12</f>
        <v>278400</v>
      </c>
      <c r="J26" s="6" t="n">
        <f aca="true">IF(ISBLANK(C26),"",YEARFRAC(C26,TODAY()))</f>
        <v>1.40277777777778</v>
      </c>
      <c r="K26" s="7" t="str">
        <f aca="false">IFERROR(VLOOKUP(D26,$A$19:$C$200,2,0),"L6")</f>
        <v>L6</v>
      </c>
      <c r="L26" s="6" t="n">
        <f aca="false">IFERROR(VLOOKUP(D26,$A$19:$C$200,3,0),0)</f>
        <v>0</v>
      </c>
      <c r="M26" s="5" t="n">
        <f aca="false">G26*L26</f>
        <v>0</v>
      </c>
      <c r="N26" s="5" t="n">
        <f aca="false">M26*12</f>
        <v>0</v>
      </c>
      <c r="O26" s="5" t="n">
        <f aca="false">G26*1.6</f>
        <v>37120</v>
      </c>
    </row>
    <row r="27" customFormat="false" ht="15" hidden="false" customHeight="true" outlineLevel="0" collapsed="false">
      <c r="A27" s="1" t="s">
        <v>95</v>
      </c>
      <c r="B27" s="1" t="s">
        <v>96</v>
      </c>
      <c r="C27" s="3" t="n">
        <v>45601</v>
      </c>
      <c r="D27" s="1" t="s">
        <v>97</v>
      </c>
      <c r="E27" s="1" t="s">
        <v>87</v>
      </c>
      <c r="F27" s="1" t="s">
        <v>19</v>
      </c>
      <c r="G27" s="4" t="n">
        <v>13286</v>
      </c>
      <c r="H27" s="1" t="s">
        <v>20</v>
      </c>
      <c r="I27" s="5" t="n">
        <f aca="false">G27*12</f>
        <v>159432</v>
      </c>
      <c r="J27" s="6" t="n">
        <f aca="true">IF(ISBLANK(C27),"",YEARFRAC(C27,TODAY()))</f>
        <v>1.4</v>
      </c>
      <c r="K27" s="7" t="str">
        <f aca="false">IFERROR(VLOOKUP(D27,$A$19:$C$200,2,0),"L6")</f>
        <v>L6</v>
      </c>
      <c r="L27" s="6" t="n">
        <f aca="false">IFERROR(VLOOKUP(D27,$A$19:$C$200,3,0),0)</f>
        <v>0</v>
      </c>
      <c r="M27" s="5" t="n">
        <f aca="false">G27*L27</f>
        <v>0</v>
      </c>
      <c r="N27" s="5" t="n">
        <f aca="false">M27*12</f>
        <v>0</v>
      </c>
      <c r="O27" s="5" t="n">
        <f aca="false">G27*1.6</f>
        <v>21257.6</v>
      </c>
    </row>
    <row r="28" customFormat="false" ht="15" hidden="false" customHeight="true" outlineLevel="0" collapsed="false">
      <c r="A28" s="1" t="s">
        <v>98</v>
      </c>
      <c r="B28" s="1" t="s">
        <v>99</v>
      </c>
      <c r="C28" s="3" t="n">
        <v>45610</v>
      </c>
      <c r="D28" s="1" t="s">
        <v>40</v>
      </c>
      <c r="E28" s="1" t="s">
        <v>50</v>
      </c>
      <c r="F28" s="1" t="s">
        <v>19</v>
      </c>
      <c r="G28" s="4" t="n">
        <v>23200</v>
      </c>
      <c r="H28" s="1" t="s">
        <v>20</v>
      </c>
      <c r="I28" s="5" t="n">
        <f aca="false">G28*12</f>
        <v>278400</v>
      </c>
      <c r="J28" s="6" t="n">
        <f aca="true">IF(ISBLANK(C28),"",YEARFRAC(C28,TODAY()))</f>
        <v>1.375</v>
      </c>
      <c r="K28" s="7" t="str">
        <f aca="false">IFERROR(VLOOKUP(D28,$A$19:$C$200,2,0),"L6")</f>
        <v>L6</v>
      </c>
      <c r="L28" s="6" t="n">
        <f aca="false">IFERROR(VLOOKUP(D28,$A$19:$C$200,3,0),0)</f>
        <v>0</v>
      </c>
      <c r="M28" s="5" t="n">
        <f aca="false">G28*L28</f>
        <v>0</v>
      </c>
      <c r="N28" s="5" t="n">
        <f aca="false">M28*12</f>
        <v>0</v>
      </c>
      <c r="O28" s="5" t="n">
        <f aca="false">G28*1.6</f>
        <v>37120</v>
      </c>
    </row>
    <row r="29" customFormat="false" ht="15" hidden="false" customHeight="true" outlineLevel="0" collapsed="false">
      <c r="A29" s="1" t="s">
        <v>100</v>
      </c>
      <c r="B29" s="1" t="s">
        <v>101</v>
      </c>
      <c r="C29" s="3" t="n">
        <v>45664</v>
      </c>
      <c r="D29" s="1" t="s">
        <v>102</v>
      </c>
      <c r="E29" s="1" t="s">
        <v>28</v>
      </c>
      <c r="F29" s="1" t="s">
        <v>19</v>
      </c>
      <c r="G29" s="4" t="n">
        <v>38200</v>
      </c>
      <c r="H29" s="1" t="s">
        <v>29</v>
      </c>
      <c r="I29" s="5" t="n">
        <f aca="false">G29*12</f>
        <v>458400</v>
      </c>
      <c r="J29" s="6" t="n">
        <f aca="true">IF(ISBLANK(C29),"",YEARFRAC(C29,TODAY()))</f>
        <v>1.22777777777778</v>
      </c>
      <c r="K29" s="7" t="str">
        <f aca="false">IFERROR(VLOOKUP(D29,$A$19:$C$200,2,0),"L6")</f>
        <v>L6</v>
      </c>
      <c r="L29" s="6" t="n">
        <f aca="false">IFERROR(VLOOKUP(D29,$A$19:$C$200,3,0),0)</f>
        <v>0</v>
      </c>
      <c r="M29" s="5" t="n">
        <f aca="false">G29*L29</f>
        <v>0</v>
      </c>
      <c r="N29" s="5" t="n">
        <f aca="false">M29*12</f>
        <v>0</v>
      </c>
      <c r="O29" s="5" t="n">
        <f aca="false">G29*1.6</f>
        <v>61120</v>
      </c>
    </row>
    <row r="30" customFormat="false" ht="15" hidden="false" customHeight="true" outlineLevel="0" collapsed="false">
      <c r="A30" s="1" t="s">
        <v>103</v>
      </c>
      <c r="B30" s="1" t="s">
        <v>104</v>
      </c>
      <c r="C30" s="3" t="n">
        <v>45719</v>
      </c>
      <c r="D30" s="1" t="s">
        <v>36</v>
      </c>
      <c r="E30" s="1" t="s">
        <v>18</v>
      </c>
      <c r="F30" s="1" t="s">
        <v>37</v>
      </c>
      <c r="G30" s="4" t="n">
        <v>16600</v>
      </c>
      <c r="H30" s="1" t="s">
        <v>20</v>
      </c>
      <c r="I30" s="5" t="n">
        <f aca="false">G30*12</f>
        <v>199200</v>
      </c>
      <c r="J30" s="6" t="n">
        <f aca="true">IF(ISBLANK(C30),"",YEARFRAC(C30,TODAY()))</f>
        <v>1.07222222222222</v>
      </c>
      <c r="K30" s="7" t="str">
        <f aca="false">IFERROR(VLOOKUP(D30,$A$19:$C$200,2,0),"L6")</f>
        <v>L6</v>
      </c>
      <c r="L30" s="6" t="n">
        <f aca="false">IFERROR(VLOOKUP(D30,$A$19:$C$200,3,0),0)</f>
        <v>0</v>
      </c>
      <c r="M30" s="5" t="n">
        <f aca="false">G30*L30</f>
        <v>0</v>
      </c>
      <c r="N30" s="5" t="n">
        <f aca="false">M30*12</f>
        <v>0</v>
      </c>
      <c r="O30" s="5" t="n">
        <f aca="false">G30*1.6</f>
        <v>26560</v>
      </c>
    </row>
    <row r="31" customFormat="false" ht="15" hidden="false" customHeight="true" outlineLevel="0" collapsed="false">
      <c r="A31" s="1" t="s">
        <v>105</v>
      </c>
      <c r="B31" s="1" t="s">
        <v>106</v>
      </c>
      <c r="C31" s="3" t="n">
        <v>45754</v>
      </c>
      <c r="D31" s="1" t="s">
        <v>107</v>
      </c>
      <c r="E31" s="1" t="s">
        <v>33</v>
      </c>
      <c r="F31" s="1" t="s">
        <v>19</v>
      </c>
      <c r="G31" s="4" t="n">
        <v>48200</v>
      </c>
      <c r="H31" s="1" t="s">
        <v>29</v>
      </c>
      <c r="I31" s="5" t="n">
        <f aca="false">G31*12</f>
        <v>578400</v>
      </c>
      <c r="J31" s="6" t="n">
        <f aca="true">IF(ISBLANK(C31),"",YEARFRAC(C31,TODAY()))</f>
        <v>0.977777777777778</v>
      </c>
      <c r="K31" s="7" t="str">
        <f aca="false">IFERROR(VLOOKUP(D31,$A$19:$C$200,2,0),"L6")</f>
        <v>L6</v>
      </c>
      <c r="L31" s="6" t="n">
        <f aca="false">IFERROR(VLOOKUP(D31,$A$19:$C$200,3,0),0)</f>
        <v>0</v>
      </c>
      <c r="M31" s="5" t="n">
        <f aca="false">G31*L31</f>
        <v>0</v>
      </c>
      <c r="N31" s="5" t="n">
        <f aca="false">M31*12</f>
        <v>0</v>
      </c>
      <c r="O31" s="5" t="n">
        <f aca="false">G31*1.6</f>
        <v>77120</v>
      </c>
    </row>
    <row r="32" customFormat="false" ht="15" hidden="false" customHeight="true" outlineLevel="0" collapsed="false">
      <c r="A32" s="1" t="s">
        <v>108</v>
      </c>
      <c r="B32" s="1" t="s">
        <v>109</v>
      </c>
      <c r="C32" s="3" t="n">
        <v>45763</v>
      </c>
      <c r="D32" s="1" t="s">
        <v>36</v>
      </c>
      <c r="E32" s="1" t="s">
        <v>18</v>
      </c>
      <c r="F32" s="1" t="s">
        <v>37</v>
      </c>
      <c r="G32" s="4" t="n">
        <v>9842</v>
      </c>
      <c r="H32" s="1" t="s">
        <v>29</v>
      </c>
      <c r="I32" s="5" t="n">
        <f aca="false">G32*12</f>
        <v>118104</v>
      </c>
      <c r="J32" s="6" t="n">
        <f aca="true">IF(ISBLANK(C32),"",YEARFRAC(C32,TODAY()))</f>
        <v>0.952777777777778</v>
      </c>
      <c r="K32" s="7" t="str">
        <f aca="false">IFERROR(VLOOKUP(D32,$A$19:$C$200,2,0),"L6")</f>
        <v>L6</v>
      </c>
      <c r="L32" s="6" t="n">
        <f aca="false">IFERROR(VLOOKUP(D32,$A$19:$C$200,3,0),0)</f>
        <v>0</v>
      </c>
      <c r="M32" s="5" t="n">
        <f aca="false">G32*L32</f>
        <v>0</v>
      </c>
      <c r="N32" s="5" t="n">
        <f aca="false">M32*12</f>
        <v>0</v>
      </c>
      <c r="O32" s="5" t="n">
        <f aca="false">G32*1.6</f>
        <v>15747.2</v>
      </c>
    </row>
    <row r="33" customFormat="false" ht="15" hidden="false" customHeight="true" outlineLevel="0" collapsed="false">
      <c r="A33" s="1" t="s">
        <v>110</v>
      </c>
      <c r="B33" s="1" t="s">
        <v>111</v>
      </c>
      <c r="C33" s="3" t="n">
        <v>45763</v>
      </c>
      <c r="D33" s="1" t="s">
        <v>112</v>
      </c>
      <c r="E33" s="1" t="s">
        <v>18</v>
      </c>
      <c r="F33" s="1" t="s">
        <v>19</v>
      </c>
      <c r="G33" s="4" t="n">
        <v>16209</v>
      </c>
      <c r="H33" s="1" t="s">
        <v>29</v>
      </c>
      <c r="I33" s="5" t="n">
        <f aca="false">G33*12</f>
        <v>194508</v>
      </c>
      <c r="J33" s="6" t="n">
        <f aca="true">IF(ISBLANK(C33),"",YEARFRAC(C33,TODAY()))</f>
        <v>0.952777777777778</v>
      </c>
      <c r="K33" s="7" t="str">
        <f aca="false">IFERROR(VLOOKUP(D33,$A$19:$C$200,2,0),"L6")</f>
        <v>L6</v>
      </c>
      <c r="L33" s="6" t="n">
        <f aca="false">IFERROR(VLOOKUP(D33,$A$19:$C$200,3,0),0)</f>
        <v>0</v>
      </c>
      <c r="M33" s="5" t="n">
        <f aca="false">G33*L33</f>
        <v>0</v>
      </c>
      <c r="N33" s="5" t="n">
        <f aca="false">M33*12</f>
        <v>0</v>
      </c>
      <c r="O33" s="5" t="n">
        <f aca="false">G33*1.6</f>
        <v>25934.4</v>
      </c>
    </row>
    <row r="34" customFormat="false" ht="15" hidden="false" customHeight="true" outlineLevel="0" collapsed="false">
      <c r="A34" s="1" t="s">
        <v>113</v>
      </c>
      <c r="B34" s="1" t="s">
        <v>114</v>
      </c>
      <c r="C34" s="3" t="n">
        <v>45810</v>
      </c>
      <c r="D34" s="1" t="s">
        <v>115</v>
      </c>
      <c r="E34" s="1" t="s">
        <v>33</v>
      </c>
      <c r="F34" s="1" t="s">
        <v>19</v>
      </c>
      <c r="G34" s="4" t="n">
        <v>95833</v>
      </c>
      <c r="H34" s="1" t="s">
        <v>29</v>
      </c>
      <c r="I34" s="5" t="n">
        <f aca="false">G34*12</f>
        <v>1149996</v>
      </c>
      <c r="J34" s="6" t="n">
        <f aca="true">IF(ISBLANK(C34),"",YEARFRAC(C34,TODAY()))</f>
        <v>0.825</v>
      </c>
      <c r="K34" s="7" t="str">
        <f aca="false">IFERROR(VLOOKUP(D34,$A$19:$C$200,2,0),"L6")</f>
        <v>L6</v>
      </c>
      <c r="L34" s="6" t="n">
        <f aca="false">IFERROR(VLOOKUP(D34,$A$19:$C$200,3,0),0)</f>
        <v>0</v>
      </c>
      <c r="M34" s="5" t="n">
        <f aca="false">G34*L34</f>
        <v>0</v>
      </c>
      <c r="N34" s="5" t="n">
        <f aca="false">M34*12</f>
        <v>0</v>
      </c>
      <c r="O34" s="5" t="n">
        <f aca="false">G34*1.6</f>
        <v>153332.8</v>
      </c>
    </row>
    <row r="35" customFormat="false" ht="15" hidden="false" customHeight="true" outlineLevel="0" collapsed="false">
      <c r="A35" s="1" t="s">
        <v>116</v>
      </c>
      <c r="B35" s="1" t="s">
        <v>117</v>
      </c>
      <c r="C35" s="3" t="n">
        <v>45839</v>
      </c>
      <c r="D35" s="1" t="s">
        <v>118</v>
      </c>
      <c r="E35" s="1" t="s">
        <v>24</v>
      </c>
      <c r="F35" s="1" t="s">
        <v>56</v>
      </c>
      <c r="G35" s="4" t="n">
        <v>32451</v>
      </c>
      <c r="H35" s="1" t="s">
        <v>20</v>
      </c>
      <c r="I35" s="5" t="n">
        <f aca="false">G35*12</f>
        <v>389412</v>
      </c>
      <c r="J35" s="6" t="n">
        <f aca="true">IF(ISBLANK(C35),"",YEARFRAC(C35,TODAY()))</f>
        <v>0.744444444444445</v>
      </c>
      <c r="K35" s="7" t="str">
        <f aca="false">IFERROR(VLOOKUP(D35,$A$19:$C$200,2,0),"L6")</f>
        <v>L6</v>
      </c>
      <c r="L35" s="6" t="n">
        <f aca="false">IFERROR(VLOOKUP(D35,$A$19:$C$200,3,0),0)</f>
        <v>0</v>
      </c>
      <c r="M35" s="5" t="n">
        <f aca="false">G35*L35</f>
        <v>0</v>
      </c>
      <c r="N35" s="5" t="n">
        <f aca="false">M35*12</f>
        <v>0</v>
      </c>
      <c r="O35" s="5" t="n">
        <f aca="false">G35*1.6</f>
        <v>51921.6</v>
      </c>
    </row>
    <row r="36" customFormat="false" ht="15" hidden="false" customHeight="true" outlineLevel="0" collapsed="false">
      <c r="A36" s="1" t="s">
        <v>119</v>
      </c>
      <c r="B36" s="1" t="s">
        <v>120</v>
      </c>
      <c r="C36" s="3" t="n">
        <v>45854</v>
      </c>
      <c r="D36" s="1" t="s">
        <v>40</v>
      </c>
      <c r="E36" s="1" t="s">
        <v>50</v>
      </c>
      <c r="F36" s="1" t="s">
        <v>19</v>
      </c>
      <c r="G36" s="4" t="n">
        <v>13507</v>
      </c>
      <c r="H36" s="1" t="s">
        <v>20</v>
      </c>
      <c r="I36" s="5" t="n">
        <f aca="false">G36*12</f>
        <v>162084</v>
      </c>
      <c r="J36" s="6" t="n">
        <f aca="true">IF(ISBLANK(C36),"",YEARFRAC(C36,TODAY()))</f>
        <v>0.702777777777778</v>
      </c>
      <c r="K36" s="7" t="str">
        <f aca="false">IFERROR(VLOOKUP(D36,$A$19:$C$200,2,0),"L6")</f>
        <v>L6</v>
      </c>
      <c r="L36" s="6" t="n">
        <f aca="false">IFERROR(VLOOKUP(D36,$A$19:$C$200,3,0),0)</f>
        <v>0</v>
      </c>
      <c r="M36" s="5" t="n">
        <f aca="false">G36*L36</f>
        <v>0</v>
      </c>
      <c r="N36" s="5" t="n">
        <f aca="false">M36*12</f>
        <v>0</v>
      </c>
      <c r="O36" s="5" t="n">
        <f aca="false">G36*1.6</f>
        <v>21611.2</v>
      </c>
    </row>
    <row r="37" customFormat="false" ht="15" hidden="false" customHeight="true" outlineLevel="0" collapsed="false">
      <c r="A37" s="1" t="s">
        <v>121</v>
      </c>
      <c r="B37" s="1" t="s">
        <v>122</v>
      </c>
      <c r="C37" s="3" t="n">
        <v>45854</v>
      </c>
      <c r="D37" s="1" t="s">
        <v>123</v>
      </c>
      <c r="E37" s="1" t="s">
        <v>18</v>
      </c>
      <c r="F37" s="1" t="s">
        <v>37</v>
      </c>
      <c r="G37" s="4" t="n">
        <v>37897</v>
      </c>
      <c r="H37" s="1" t="s">
        <v>20</v>
      </c>
      <c r="I37" s="5" t="n">
        <f aca="false">G37*12</f>
        <v>454764</v>
      </c>
      <c r="J37" s="6" t="n">
        <f aca="true">IF(ISBLANK(C37),"",YEARFRAC(C37,TODAY()))</f>
        <v>0.702777777777778</v>
      </c>
      <c r="K37" s="7" t="str">
        <f aca="false">IFERROR(VLOOKUP(D37,$A$19:$C$200,2,0),"L6")</f>
        <v>L6</v>
      </c>
      <c r="L37" s="6" t="n">
        <f aca="false">IFERROR(VLOOKUP(D37,$A$19:$C$200,3,0),0)</f>
        <v>0</v>
      </c>
      <c r="M37" s="5" t="n">
        <f aca="false">G37*L37</f>
        <v>0</v>
      </c>
      <c r="N37" s="5" t="n">
        <f aca="false">M37*12</f>
        <v>0</v>
      </c>
      <c r="O37" s="5" t="n">
        <f aca="false">G37*1.6</f>
        <v>60635.2</v>
      </c>
    </row>
    <row r="38" customFormat="false" ht="15" hidden="false" customHeight="true" outlineLevel="0" collapsed="false">
      <c r="A38" s="1" t="s">
        <v>124</v>
      </c>
      <c r="B38" s="1" t="s">
        <v>125</v>
      </c>
      <c r="C38" s="3" t="n">
        <v>45873</v>
      </c>
      <c r="D38" s="1" t="s">
        <v>126</v>
      </c>
      <c r="E38" s="1" t="s">
        <v>18</v>
      </c>
      <c r="F38" s="1" t="s">
        <v>127</v>
      </c>
      <c r="G38" s="4" t="n">
        <v>17600</v>
      </c>
      <c r="H38" s="1" t="s">
        <v>29</v>
      </c>
      <c r="I38" s="5" t="n">
        <f aca="false">G38*12</f>
        <v>211200</v>
      </c>
      <c r="J38" s="6" t="n">
        <f aca="true">IF(ISBLANK(C38),"",YEARFRAC(C38,TODAY()))</f>
        <v>0.652777777777778</v>
      </c>
      <c r="K38" s="7" t="str">
        <f aca="false">IFERROR(VLOOKUP(D38,$A$19:$C$200,2,0),"L6")</f>
        <v>L6</v>
      </c>
      <c r="L38" s="6" t="n">
        <f aca="false">IFERROR(VLOOKUP(D38,$A$19:$C$200,3,0),0)</f>
        <v>0</v>
      </c>
      <c r="M38" s="5" t="n">
        <f aca="false">G38*L38</f>
        <v>0</v>
      </c>
      <c r="N38" s="5" t="n">
        <f aca="false">M38*12</f>
        <v>0</v>
      </c>
      <c r="O38" s="5" t="n">
        <f aca="false">G38*1.6</f>
        <v>28160</v>
      </c>
    </row>
    <row r="39" customFormat="false" ht="15" hidden="false" customHeight="true" outlineLevel="0" collapsed="false">
      <c r="A39" s="1" t="s">
        <v>128</v>
      </c>
      <c r="B39" s="1" t="s">
        <v>129</v>
      </c>
      <c r="C39" s="3" t="n">
        <v>45873</v>
      </c>
      <c r="D39" s="1" t="s">
        <v>130</v>
      </c>
      <c r="E39" s="1" t="s">
        <v>46</v>
      </c>
      <c r="F39" s="1" t="s">
        <v>19</v>
      </c>
      <c r="G39" s="4" t="n">
        <v>30363</v>
      </c>
      <c r="H39" s="1" t="s">
        <v>29</v>
      </c>
      <c r="I39" s="5" t="n">
        <f aca="false">G39*12</f>
        <v>364356</v>
      </c>
      <c r="J39" s="6" t="n">
        <f aca="true">IF(ISBLANK(C39),"",YEARFRAC(C39,TODAY()))</f>
        <v>0.652777777777778</v>
      </c>
      <c r="K39" s="7" t="str">
        <f aca="false">IFERROR(VLOOKUP(D39,$A$19:$C$200,2,0),"L6")</f>
        <v>L6</v>
      </c>
      <c r="L39" s="6" t="n">
        <f aca="false">IFERROR(VLOOKUP(D39,$A$19:$C$200,3,0),0)</f>
        <v>0</v>
      </c>
      <c r="M39" s="5" t="n">
        <f aca="false">G39*L39</f>
        <v>0</v>
      </c>
      <c r="N39" s="5" t="n">
        <f aca="false">M39*12</f>
        <v>0</v>
      </c>
      <c r="O39" s="5" t="n">
        <f aca="false">G39*1.6</f>
        <v>48580.8</v>
      </c>
    </row>
    <row r="40" customFormat="false" ht="15" hidden="false" customHeight="true" outlineLevel="0" collapsed="false">
      <c r="A40" s="1" t="s">
        <v>131</v>
      </c>
      <c r="B40" s="1" t="s">
        <v>132</v>
      </c>
      <c r="C40" s="3" t="n">
        <v>45936</v>
      </c>
      <c r="D40" s="1" t="s">
        <v>133</v>
      </c>
      <c r="E40" s="1" t="s">
        <v>33</v>
      </c>
      <c r="F40" s="1" t="s">
        <v>19</v>
      </c>
      <c r="G40" s="4" t="n">
        <v>44035</v>
      </c>
      <c r="H40" s="1" t="s">
        <v>29</v>
      </c>
      <c r="I40" s="5" t="n">
        <f aca="false">G40*12</f>
        <v>528420</v>
      </c>
      <c r="J40" s="6" t="n">
        <f aca="true">IF(ISBLANK(C40),"",YEARFRAC(C40,TODAY()))</f>
        <v>0.480555555555556</v>
      </c>
      <c r="K40" s="7" t="str">
        <f aca="false">IFERROR(VLOOKUP(D40,$A$19:$C$200,2,0),"L6")</f>
        <v>L6</v>
      </c>
      <c r="L40" s="6" t="n">
        <f aca="false">IFERROR(VLOOKUP(D40,$A$19:$C$200,3,0),0)</f>
        <v>0</v>
      </c>
      <c r="M40" s="5" t="n">
        <f aca="false">G40*L40</f>
        <v>0</v>
      </c>
      <c r="N40" s="5" t="n">
        <f aca="false">M40*12</f>
        <v>0</v>
      </c>
      <c r="O40" s="5" t="n">
        <f aca="false">G40*1.6</f>
        <v>70456</v>
      </c>
    </row>
    <row r="41" customFormat="false" ht="15" hidden="false" customHeight="true" outlineLevel="0" collapsed="false">
      <c r="A41" s="1" t="s">
        <v>134</v>
      </c>
      <c r="B41" s="1" t="s">
        <v>135</v>
      </c>
      <c r="C41" s="3" t="n">
        <v>45936</v>
      </c>
      <c r="D41" s="1" t="s">
        <v>133</v>
      </c>
      <c r="E41" s="1" t="s">
        <v>33</v>
      </c>
      <c r="F41" s="1" t="s">
        <v>19</v>
      </c>
      <c r="G41" s="4" t="n">
        <v>41534</v>
      </c>
      <c r="H41" s="1" t="s">
        <v>29</v>
      </c>
      <c r="I41" s="5" t="n">
        <f aca="false">G41*12</f>
        <v>498408</v>
      </c>
      <c r="J41" s="6" t="n">
        <f aca="true">IF(ISBLANK(C41),"",YEARFRAC(C41,TODAY()))</f>
        <v>0.480555555555556</v>
      </c>
      <c r="K41" s="7" t="str">
        <f aca="false">IFERROR(VLOOKUP(D41,$A$19:$C$200,2,0),"L6")</f>
        <v>L6</v>
      </c>
      <c r="L41" s="6" t="n">
        <f aca="false">IFERROR(VLOOKUP(D41,$A$19:$C$200,3,0),0)</f>
        <v>0</v>
      </c>
      <c r="M41" s="5" t="n">
        <f aca="false">G41*L41</f>
        <v>0</v>
      </c>
      <c r="N41" s="5" t="n">
        <f aca="false">M41*12</f>
        <v>0</v>
      </c>
      <c r="O41" s="5" t="n">
        <f aca="false">G41*1.6</f>
        <v>66454.4</v>
      </c>
    </row>
    <row r="42" customFormat="false" ht="15" hidden="false" customHeight="true" outlineLevel="0" collapsed="false">
      <c r="A42" s="1" t="s">
        <v>136</v>
      </c>
      <c r="B42" s="1" t="s">
        <v>137</v>
      </c>
      <c r="C42" s="3" t="n">
        <v>45936</v>
      </c>
      <c r="D42" s="1" t="s">
        <v>40</v>
      </c>
      <c r="E42" s="1" t="s">
        <v>50</v>
      </c>
      <c r="F42" s="1" t="s">
        <v>19</v>
      </c>
      <c r="G42" s="4" t="n">
        <v>18009</v>
      </c>
      <c r="H42" s="1" t="s">
        <v>20</v>
      </c>
      <c r="I42" s="5" t="n">
        <f aca="false">G42*12</f>
        <v>216108</v>
      </c>
      <c r="J42" s="6" t="n">
        <f aca="true">IF(ISBLANK(C42),"",YEARFRAC(C42,TODAY()))</f>
        <v>0.480555555555556</v>
      </c>
      <c r="K42" s="7" t="str">
        <f aca="false">IFERROR(VLOOKUP(D42,$A$19:$C$200,2,0),"L6")</f>
        <v>L6</v>
      </c>
      <c r="L42" s="6" t="n">
        <f aca="false">IFERROR(VLOOKUP(D42,$A$19:$C$200,3,0),0)</f>
        <v>0</v>
      </c>
      <c r="M42" s="5" t="n">
        <f aca="false">G42*L42</f>
        <v>0</v>
      </c>
      <c r="N42" s="5" t="n">
        <f aca="false">M42*12</f>
        <v>0</v>
      </c>
      <c r="O42" s="5" t="n">
        <f aca="false">G42*1.6</f>
        <v>28814.4</v>
      </c>
    </row>
    <row r="43" customFormat="false" ht="15" hidden="false" customHeight="true" outlineLevel="0" collapsed="false">
      <c r="A43" s="1" t="s">
        <v>138</v>
      </c>
      <c r="B43" s="1" t="s">
        <v>139</v>
      </c>
      <c r="C43" s="3" t="n">
        <v>45943</v>
      </c>
      <c r="D43" s="1" t="s">
        <v>140</v>
      </c>
      <c r="E43" s="1" t="s">
        <v>18</v>
      </c>
      <c r="F43" s="1" t="s">
        <v>19</v>
      </c>
      <c r="G43" s="4" t="n">
        <v>66117</v>
      </c>
      <c r="H43" s="1" t="s">
        <v>29</v>
      </c>
      <c r="I43" s="5" t="n">
        <f aca="false">G43*12</f>
        <v>793404</v>
      </c>
      <c r="J43" s="6" t="n">
        <f aca="true">IF(ISBLANK(C43),"",YEARFRAC(C43,TODAY()))</f>
        <v>0.461111111111111</v>
      </c>
      <c r="K43" s="7" t="str">
        <f aca="false">IFERROR(VLOOKUP(D43,$A$19:$C$200,2,0),"L6")</f>
        <v>L6</v>
      </c>
      <c r="L43" s="6" t="n">
        <f aca="false">IFERROR(VLOOKUP(D43,$A$19:$C$200,3,0),0)</f>
        <v>0</v>
      </c>
      <c r="M43" s="5" t="n">
        <f aca="false">G43*L43</f>
        <v>0</v>
      </c>
      <c r="N43" s="5" t="n">
        <f aca="false">M43*12</f>
        <v>0</v>
      </c>
      <c r="O43" s="5" t="n">
        <f aca="false">G43*1.6</f>
        <v>105787.2</v>
      </c>
    </row>
    <row r="44" customFormat="false" ht="15" hidden="false" customHeight="true" outlineLevel="0" collapsed="false">
      <c r="A44" s="1" t="s">
        <v>141</v>
      </c>
      <c r="B44" s="1" t="s">
        <v>142</v>
      </c>
      <c r="C44" s="3" t="n">
        <v>45965</v>
      </c>
      <c r="D44" s="1" t="s">
        <v>143</v>
      </c>
      <c r="E44" s="1" t="s">
        <v>87</v>
      </c>
      <c r="F44" s="1" t="s">
        <v>19</v>
      </c>
      <c r="G44" s="4" t="n">
        <v>6000</v>
      </c>
      <c r="H44" s="1" t="s">
        <v>20</v>
      </c>
      <c r="I44" s="5" t="n">
        <f aca="false">G44*12</f>
        <v>72000</v>
      </c>
      <c r="J44" s="6" t="n">
        <f aca="true">IF(ISBLANK(C44),"",YEARFRAC(C44,TODAY()))</f>
        <v>0.402777777777778</v>
      </c>
      <c r="K44" s="7" t="str">
        <f aca="false">IFERROR(VLOOKUP(D44,$A$19:$C$200,2,0),"L6")</f>
        <v>L6</v>
      </c>
      <c r="L44" s="6" t="n">
        <f aca="false">IFERROR(VLOOKUP(D44,$A$19:$C$200,3,0),0)</f>
        <v>0</v>
      </c>
      <c r="M44" s="5" t="n">
        <f aca="false">G44*L44</f>
        <v>0</v>
      </c>
      <c r="N44" s="5" t="n">
        <f aca="false">M44*12</f>
        <v>0</v>
      </c>
      <c r="O44" s="5" t="n">
        <f aca="false">G44*1.6</f>
        <v>9600</v>
      </c>
    </row>
    <row r="45" customFormat="false" ht="15" hidden="false" customHeight="true" outlineLevel="0" collapsed="false">
      <c r="A45" s="1" t="s">
        <v>144</v>
      </c>
      <c r="B45" s="1" t="s">
        <v>145</v>
      </c>
      <c r="C45" s="3" t="n">
        <v>45971</v>
      </c>
      <c r="D45" s="1" t="s">
        <v>23</v>
      </c>
      <c r="E45" s="1" t="s">
        <v>18</v>
      </c>
      <c r="F45" s="1" t="s">
        <v>24</v>
      </c>
      <c r="G45" s="4" t="n">
        <v>15000</v>
      </c>
      <c r="H45" s="1" t="s">
        <v>20</v>
      </c>
      <c r="I45" s="5" t="n">
        <f aca="false">G45*12</f>
        <v>180000</v>
      </c>
      <c r="J45" s="6" t="n">
        <f aca="true">IF(ISBLANK(C45),"",YEARFRAC(C45,TODAY()))</f>
        <v>0.386111111111111</v>
      </c>
      <c r="K45" s="7" t="str">
        <f aca="false">IFERROR(VLOOKUP(D45,$A$19:$C$200,2,0),"L6")</f>
        <v>L6</v>
      </c>
      <c r="L45" s="6" t="n">
        <f aca="false">IFERROR(VLOOKUP(D45,$A$19:$C$200,3,0),0)</f>
        <v>0</v>
      </c>
      <c r="M45" s="5" t="n">
        <f aca="false">G45*L45</f>
        <v>0</v>
      </c>
      <c r="N45" s="5" t="n">
        <f aca="false">M45*12</f>
        <v>0</v>
      </c>
      <c r="O45" s="5" t="n">
        <f aca="false">G45*1.6</f>
        <v>24000</v>
      </c>
    </row>
    <row r="46" customFormat="false" ht="15" hidden="false" customHeight="true" outlineLevel="0" collapsed="false">
      <c r="A46" s="1" t="s">
        <v>146</v>
      </c>
      <c r="B46" s="1" t="s">
        <v>147</v>
      </c>
      <c r="C46" s="3" t="n">
        <v>45978</v>
      </c>
      <c r="D46" s="1" t="s">
        <v>148</v>
      </c>
      <c r="E46" s="1" t="s">
        <v>149</v>
      </c>
      <c r="F46" s="1" t="s">
        <v>19</v>
      </c>
      <c r="G46" s="4" t="n">
        <v>112008</v>
      </c>
      <c r="H46" s="1" t="s">
        <v>29</v>
      </c>
      <c r="I46" s="5" t="n">
        <f aca="false">G46*12</f>
        <v>1344096</v>
      </c>
      <c r="J46" s="6" t="n">
        <f aca="true">IF(ISBLANK(C46),"",YEARFRAC(C46,TODAY()))</f>
        <v>0.366666666666667</v>
      </c>
      <c r="K46" s="7" t="str">
        <f aca="false">IFERROR(VLOOKUP(D46,$A$19:$C$200,2,0),"L6")</f>
        <v>L6</v>
      </c>
      <c r="L46" s="6" t="n">
        <f aca="false">IFERROR(VLOOKUP(D46,$A$19:$C$200,3,0),0)</f>
        <v>0</v>
      </c>
      <c r="M46" s="5" t="n">
        <f aca="false">G46*L46</f>
        <v>0</v>
      </c>
      <c r="N46" s="5" t="n">
        <f aca="false">M46*12</f>
        <v>0</v>
      </c>
      <c r="O46" s="5" t="n">
        <f aca="false">G46*1.6</f>
        <v>179212.8</v>
      </c>
    </row>
    <row r="47" customFormat="false" ht="15" hidden="false" customHeight="true" outlineLevel="0" collapsed="false">
      <c r="A47" s="1" t="s">
        <v>150</v>
      </c>
      <c r="B47" s="1" t="s">
        <v>151</v>
      </c>
      <c r="C47" s="3" t="n">
        <v>45978</v>
      </c>
      <c r="D47" s="1" t="s">
        <v>152</v>
      </c>
      <c r="E47" s="1" t="s">
        <v>71</v>
      </c>
      <c r="F47" s="1" t="s">
        <v>24</v>
      </c>
      <c r="G47" s="4" t="n">
        <v>15308</v>
      </c>
      <c r="H47" s="1" t="s">
        <v>20</v>
      </c>
      <c r="I47" s="5" t="n">
        <f aca="false">G47*12</f>
        <v>183696</v>
      </c>
      <c r="J47" s="6" t="n">
        <f aca="true">IF(ISBLANK(C47),"",YEARFRAC(C47,TODAY()))</f>
        <v>0.366666666666667</v>
      </c>
      <c r="K47" s="7" t="str">
        <f aca="false">IFERROR(VLOOKUP(D47,$A$19:$C$200,2,0),"L6")</f>
        <v>L6</v>
      </c>
      <c r="L47" s="6" t="n">
        <f aca="false">IFERROR(VLOOKUP(D47,$A$19:$C$200,3,0),0)</f>
        <v>0</v>
      </c>
      <c r="M47" s="5" t="n">
        <f aca="false">G47*L47</f>
        <v>0</v>
      </c>
      <c r="N47" s="5" t="n">
        <f aca="false">M47*12</f>
        <v>0</v>
      </c>
      <c r="O47" s="5" t="n">
        <f aca="false">G47*1.6</f>
        <v>24492.8</v>
      </c>
    </row>
    <row r="48" customFormat="false" ht="15" hidden="false" customHeight="true" outlineLevel="0" collapsed="false">
      <c r="A48" s="1" t="s">
        <v>153</v>
      </c>
      <c r="B48" s="1" t="s">
        <v>154</v>
      </c>
      <c r="C48" s="3" t="n">
        <v>45980</v>
      </c>
      <c r="D48" s="1" t="s">
        <v>155</v>
      </c>
      <c r="E48" s="1" t="s">
        <v>18</v>
      </c>
      <c r="F48" s="1" t="s">
        <v>127</v>
      </c>
      <c r="G48" s="4" t="n">
        <v>32008</v>
      </c>
      <c r="H48" s="1" t="s">
        <v>29</v>
      </c>
      <c r="I48" s="5" t="n">
        <f aca="false">G48*12</f>
        <v>384096</v>
      </c>
      <c r="J48" s="6" t="n">
        <f aca="true">IF(ISBLANK(C48),"",YEARFRAC(C48,TODAY()))</f>
        <v>0.361111111111111</v>
      </c>
      <c r="K48" s="7" t="str">
        <f aca="false">IFERROR(VLOOKUP(D48,$A$19:$C$200,2,0),"L6")</f>
        <v>L6</v>
      </c>
      <c r="L48" s="6" t="n">
        <f aca="false">IFERROR(VLOOKUP(D48,$A$19:$C$200,3,0),0)</f>
        <v>0</v>
      </c>
      <c r="M48" s="5" t="n">
        <f aca="false">G48*L48</f>
        <v>0</v>
      </c>
      <c r="N48" s="5" t="n">
        <f aca="false">M48*12</f>
        <v>0</v>
      </c>
      <c r="O48" s="5" t="n">
        <f aca="false">G48*1.6</f>
        <v>51212.8</v>
      </c>
    </row>
    <row r="49" customFormat="false" ht="15" hidden="false" customHeight="true" outlineLevel="0" collapsed="false">
      <c r="A49" s="1" t="s">
        <v>156</v>
      </c>
      <c r="B49" s="1" t="s">
        <v>157</v>
      </c>
      <c r="C49" s="3" t="n">
        <v>45964</v>
      </c>
      <c r="D49" s="1" t="s">
        <v>158</v>
      </c>
      <c r="E49" s="1" t="s">
        <v>18</v>
      </c>
      <c r="F49" s="1" t="s">
        <v>19</v>
      </c>
      <c r="G49" s="4" t="n">
        <v>300000</v>
      </c>
      <c r="H49" s="1" t="s">
        <v>29</v>
      </c>
      <c r="I49" s="5" t="n">
        <f aca="false">G49*12</f>
        <v>3600000</v>
      </c>
      <c r="J49" s="6" t="n">
        <f aca="true">IF(ISBLANK(C49),"",YEARFRAC(C49,TODAY()))</f>
        <v>0.405555555555556</v>
      </c>
      <c r="K49" s="7" t="str">
        <f aca="false">IFERROR(VLOOKUP(D49,$A$19:$C$200,2,0),"L6")</f>
        <v>L6</v>
      </c>
      <c r="L49" s="6" t="n">
        <f aca="false">IFERROR(VLOOKUP(D49,$A$19:$C$200,3,0),0)</f>
        <v>0</v>
      </c>
      <c r="M49" s="5" t="n">
        <f aca="false">G49*L49</f>
        <v>0</v>
      </c>
      <c r="N49" s="5" t="n">
        <f aca="false">M49*12</f>
        <v>0</v>
      </c>
      <c r="O49" s="5" t="n">
        <f aca="false">G49*1.6</f>
        <v>480000</v>
      </c>
    </row>
    <row r="50" customFormat="false" ht="15" hidden="false" customHeight="true" outlineLevel="0" collapsed="false">
      <c r="A50" s="1" t="s">
        <v>159</v>
      </c>
      <c r="B50" s="1" t="s">
        <v>160</v>
      </c>
      <c r="C50" s="3" t="n">
        <v>45992</v>
      </c>
      <c r="D50" s="1" t="s">
        <v>161</v>
      </c>
      <c r="E50" s="1" t="s">
        <v>18</v>
      </c>
      <c r="F50" s="1" t="s">
        <v>37</v>
      </c>
      <c r="G50" s="4" t="n">
        <v>15008</v>
      </c>
      <c r="H50" s="1" t="s">
        <v>20</v>
      </c>
      <c r="I50" s="5" t="n">
        <f aca="false">G50*12</f>
        <v>180096</v>
      </c>
      <c r="J50" s="6" t="n">
        <f aca="true">IF(ISBLANK(C50),"",YEARFRAC(C50,TODAY()))</f>
        <v>0.327777777777778</v>
      </c>
      <c r="K50" s="7" t="str">
        <f aca="false">IFERROR(VLOOKUP(D50,$A$19:$C$200,2,0),"L6")</f>
        <v>L6</v>
      </c>
      <c r="L50" s="6" t="n">
        <f aca="false">IFERROR(VLOOKUP(D50,$A$19:$C$200,3,0),0)</f>
        <v>0</v>
      </c>
      <c r="M50" s="5" t="n">
        <f aca="false">G50*L50</f>
        <v>0</v>
      </c>
      <c r="N50" s="5" t="n">
        <f aca="false">M50*12</f>
        <v>0</v>
      </c>
      <c r="O50" s="5" t="n">
        <f aca="false">G50*1.6</f>
        <v>24012.8</v>
      </c>
    </row>
    <row r="51" customFormat="false" ht="15" hidden="false" customHeight="true" outlineLevel="0" collapsed="false">
      <c r="A51" s="1" t="s">
        <v>162</v>
      </c>
      <c r="B51" s="1" t="s">
        <v>163</v>
      </c>
      <c r="C51" s="3" t="n">
        <v>45992</v>
      </c>
      <c r="D51" s="1" t="s">
        <v>40</v>
      </c>
      <c r="E51" s="1" t="s">
        <v>50</v>
      </c>
      <c r="F51" s="1" t="s">
        <v>19</v>
      </c>
      <c r="G51" s="4" t="n">
        <v>28200</v>
      </c>
      <c r="H51" s="1" t="s">
        <v>20</v>
      </c>
      <c r="I51" s="5" t="n">
        <f aca="false">G51*12</f>
        <v>338400</v>
      </c>
      <c r="J51" s="6" t="n">
        <f aca="true">IF(ISBLANK(C51),"",YEARFRAC(C51,TODAY()))</f>
        <v>0.327777777777778</v>
      </c>
      <c r="K51" s="7" t="str">
        <f aca="false">IFERROR(VLOOKUP(D51,$A$19:$C$200,2,0),"L6")</f>
        <v>L6</v>
      </c>
      <c r="L51" s="6" t="n">
        <f aca="false">IFERROR(VLOOKUP(D51,$A$19:$C$200,3,0),0)</f>
        <v>0</v>
      </c>
      <c r="M51" s="5" t="n">
        <f aca="false">G51*L51</f>
        <v>0</v>
      </c>
      <c r="N51" s="5" t="n">
        <f aca="false">M51*12</f>
        <v>0</v>
      </c>
      <c r="O51" s="5" t="n">
        <f aca="false">G51*1.6</f>
        <v>45120</v>
      </c>
    </row>
    <row r="52" customFormat="false" ht="15" hidden="false" customHeight="true" outlineLevel="0" collapsed="false">
      <c r="A52" s="1" t="s">
        <v>164</v>
      </c>
      <c r="B52" s="1" t="s">
        <v>165</v>
      </c>
      <c r="C52" s="3" t="n">
        <v>45992</v>
      </c>
      <c r="D52" s="1" t="s">
        <v>40</v>
      </c>
      <c r="E52" s="1" t="s">
        <v>149</v>
      </c>
      <c r="F52" s="1" t="s">
        <v>19</v>
      </c>
      <c r="G52" s="4" t="n">
        <v>20427</v>
      </c>
      <c r="H52" s="1" t="s">
        <v>29</v>
      </c>
      <c r="I52" s="5" t="n">
        <f aca="false">G52*12</f>
        <v>245124</v>
      </c>
      <c r="J52" s="6" t="n">
        <f aca="true">IF(ISBLANK(C52),"",YEARFRAC(C52,TODAY()))</f>
        <v>0.327777777777778</v>
      </c>
      <c r="K52" s="7" t="str">
        <f aca="false">IFERROR(VLOOKUP(D52,$A$19:$C$200,2,0),"L6")</f>
        <v>L6</v>
      </c>
      <c r="L52" s="6" t="n">
        <f aca="false">IFERROR(VLOOKUP(D52,$A$19:$C$200,3,0),0)</f>
        <v>0</v>
      </c>
      <c r="M52" s="5" t="n">
        <f aca="false">G52*L52</f>
        <v>0</v>
      </c>
      <c r="N52" s="5" t="n">
        <f aca="false">M52*12</f>
        <v>0</v>
      </c>
      <c r="O52" s="5" t="n">
        <f aca="false">G52*1.6</f>
        <v>32683.2</v>
      </c>
    </row>
    <row r="53" customFormat="false" ht="15" hidden="false" customHeight="true" outlineLevel="0" collapsed="false">
      <c r="A53" s="1" t="s">
        <v>166</v>
      </c>
      <c r="B53" s="1" t="s">
        <v>167</v>
      </c>
      <c r="C53" s="3" t="n">
        <v>45992</v>
      </c>
      <c r="D53" s="1" t="s">
        <v>140</v>
      </c>
      <c r="E53" s="1" t="s">
        <v>149</v>
      </c>
      <c r="F53" s="1" t="s">
        <v>19</v>
      </c>
      <c r="G53" s="4" t="n">
        <v>52009</v>
      </c>
      <c r="H53" s="1" t="s">
        <v>29</v>
      </c>
      <c r="I53" s="5" t="n">
        <f aca="false">G53*12</f>
        <v>624108</v>
      </c>
      <c r="J53" s="6" t="n">
        <f aca="true">IF(ISBLANK(C53),"",YEARFRAC(C53,TODAY()))</f>
        <v>0.327777777777778</v>
      </c>
      <c r="K53" s="7" t="str">
        <f aca="false">IFERROR(VLOOKUP(D53,$A$19:$C$200,2,0),"L6")</f>
        <v>L6</v>
      </c>
      <c r="L53" s="6" t="n">
        <f aca="false">IFERROR(VLOOKUP(D53,$A$19:$C$200,3,0),0)</f>
        <v>0</v>
      </c>
      <c r="M53" s="5" t="n">
        <f aca="false">G53*L53</f>
        <v>0</v>
      </c>
      <c r="N53" s="5" t="n">
        <f aca="false">M53*12</f>
        <v>0</v>
      </c>
      <c r="O53" s="5" t="n">
        <f aca="false">G53*1.6</f>
        <v>83214.4</v>
      </c>
    </row>
    <row r="54" customFormat="false" ht="15" hidden="false" customHeight="true" outlineLevel="0" collapsed="false">
      <c r="A54" s="1" t="s">
        <v>168</v>
      </c>
      <c r="B54" s="1" t="s">
        <v>169</v>
      </c>
      <c r="C54" s="3" t="n">
        <v>45992</v>
      </c>
      <c r="D54" s="1" t="s">
        <v>140</v>
      </c>
      <c r="E54" s="1" t="s">
        <v>149</v>
      </c>
      <c r="F54" s="1" t="s">
        <v>19</v>
      </c>
      <c r="G54" s="4" t="n">
        <v>67008</v>
      </c>
      <c r="H54" s="1" t="s">
        <v>29</v>
      </c>
      <c r="I54" s="5" t="n">
        <f aca="false">G54*12</f>
        <v>804096</v>
      </c>
      <c r="J54" s="6" t="n">
        <f aca="true">IF(ISBLANK(C54),"",YEARFRAC(C54,TODAY()))</f>
        <v>0.327777777777778</v>
      </c>
      <c r="K54" s="7" t="str">
        <f aca="false">IFERROR(VLOOKUP(D54,$A$19:$C$200,2,0),"L6")</f>
        <v>L6</v>
      </c>
      <c r="L54" s="6" t="n">
        <f aca="false">IFERROR(VLOOKUP(D54,$A$19:$C$200,3,0),0)</f>
        <v>0</v>
      </c>
      <c r="M54" s="5" t="n">
        <f aca="false">G54*L54</f>
        <v>0</v>
      </c>
      <c r="N54" s="5" t="n">
        <f aca="false">M54*12</f>
        <v>0</v>
      </c>
      <c r="O54" s="5" t="n">
        <f aca="false">G54*1.6</f>
        <v>107212.8</v>
      </c>
    </row>
    <row r="55" customFormat="false" ht="15" hidden="false" customHeight="true" outlineLevel="0" collapsed="false">
      <c r="A55" s="1" t="s">
        <v>170</v>
      </c>
      <c r="B55" s="1" t="s">
        <v>171</v>
      </c>
      <c r="C55" s="3" t="n">
        <v>45992</v>
      </c>
      <c r="D55" s="1" t="s">
        <v>40</v>
      </c>
      <c r="E55" s="1" t="s">
        <v>149</v>
      </c>
      <c r="F55" s="1" t="s">
        <v>19</v>
      </c>
      <c r="G55" s="4" t="n">
        <v>23980</v>
      </c>
      <c r="H55" s="1" t="s">
        <v>29</v>
      </c>
      <c r="I55" s="5" t="n">
        <f aca="false">G55*12</f>
        <v>287760</v>
      </c>
      <c r="J55" s="6" t="n">
        <f aca="true">IF(ISBLANK(C55),"",YEARFRAC(C55,TODAY()))</f>
        <v>0.327777777777778</v>
      </c>
      <c r="K55" s="7" t="str">
        <f aca="false">IFERROR(VLOOKUP(D55,$A$19:$C$200,2,0),"L6")</f>
        <v>L6</v>
      </c>
      <c r="L55" s="6" t="n">
        <f aca="false">IFERROR(VLOOKUP(D55,$A$19:$C$200,3,0),0)</f>
        <v>0</v>
      </c>
      <c r="M55" s="5" t="n">
        <f aca="false">G55*L55</f>
        <v>0</v>
      </c>
      <c r="N55" s="5" t="n">
        <f aca="false">M55*12</f>
        <v>0</v>
      </c>
      <c r="O55" s="5" t="n">
        <f aca="false">G55*1.6</f>
        <v>38368</v>
      </c>
    </row>
    <row r="56" customFormat="false" ht="15" hidden="false" customHeight="true" outlineLevel="0" collapsed="false">
      <c r="A56" s="1" t="s">
        <v>172</v>
      </c>
      <c r="B56" s="1" t="s">
        <v>173</v>
      </c>
      <c r="C56" s="3" t="n">
        <v>45992</v>
      </c>
      <c r="D56" s="1" t="s">
        <v>40</v>
      </c>
      <c r="E56" s="1" t="s">
        <v>149</v>
      </c>
      <c r="F56" s="1" t="s">
        <v>19</v>
      </c>
      <c r="G56" s="4" t="n">
        <v>67008</v>
      </c>
      <c r="H56" s="1" t="s">
        <v>29</v>
      </c>
      <c r="I56" s="5" t="n">
        <f aca="false">G56*12</f>
        <v>804096</v>
      </c>
      <c r="J56" s="6" t="n">
        <f aca="true">IF(ISBLANK(C56),"",YEARFRAC(C56,TODAY()))</f>
        <v>0.327777777777778</v>
      </c>
      <c r="K56" s="7" t="str">
        <f aca="false">IFERROR(VLOOKUP(D56,$A$19:$C$200,2,0),"L6")</f>
        <v>L6</v>
      </c>
      <c r="L56" s="6" t="n">
        <f aca="false">IFERROR(VLOOKUP(D56,$A$19:$C$200,3,0),0)</f>
        <v>0</v>
      </c>
      <c r="M56" s="5" t="n">
        <f aca="false">G56*L56</f>
        <v>0</v>
      </c>
      <c r="N56" s="5" t="n">
        <f aca="false">M56*12</f>
        <v>0</v>
      </c>
      <c r="O56" s="5" t="n">
        <f aca="false">G56*1.6</f>
        <v>107212.8</v>
      </c>
    </row>
    <row r="57" customFormat="false" ht="15" hidden="false" customHeight="true" outlineLevel="0" collapsed="false">
      <c r="A57" s="1" t="s">
        <v>174</v>
      </c>
      <c r="B57" s="1" t="s">
        <v>175</v>
      </c>
      <c r="C57" s="3" t="n">
        <v>45992</v>
      </c>
      <c r="D57" s="1" t="s">
        <v>140</v>
      </c>
      <c r="E57" s="1" t="s">
        <v>149</v>
      </c>
      <c r="F57" s="1" t="s">
        <v>19</v>
      </c>
      <c r="G57" s="4" t="n">
        <v>67008</v>
      </c>
      <c r="H57" s="1" t="s">
        <v>29</v>
      </c>
      <c r="I57" s="5" t="n">
        <f aca="false">G57*12</f>
        <v>804096</v>
      </c>
      <c r="J57" s="6" t="n">
        <f aca="true">IF(ISBLANK(C57),"",YEARFRAC(C57,TODAY()))</f>
        <v>0.327777777777778</v>
      </c>
      <c r="K57" s="7" t="str">
        <f aca="false">IFERROR(VLOOKUP(D57,$A$19:$C$200,2,0),"L6")</f>
        <v>L6</v>
      </c>
      <c r="L57" s="6" t="n">
        <f aca="false">IFERROR(VLOOKUP(D57,$A$19:$C$200,3,0),0)</f>
        <v>0</v>
      </c>
      <c r="M57" s="5" t="n">
        <f aca="false">G57*L57</f>
        <v>0</v>
      </c>
      <c r="N57" s="5" t="n">
        <f aca="false">M57*12</f>
        <v>0</v>
      </c>
      <c r="O57" s="5" t="n">
        <f aca="false">G57*1.6</f>
        <v>107212.8</v>
      </c>
    </row>
    <row r="58" customFormat="false" ht="15" hidden="false" customHeight="true" outlineLevel="0" collapsed="false">
      <c r="A58" s="1" t="s">
        <v>176</v>
      </c>
      <c r="B58" s="1" t="s">
        <v>177</v>
      </c>
      <c r="C58" s="3" t="n">
        <v>45992</v>
      </c>
      <c r="D58" s="1" t="s">
        <v>40</v>
      </c>
      <c r="E58" s="1" t="s">
        <v>149</v>
      </c>
      <c r="F58" s="1" t="s">
        <v>19</v>
      </c>
      <c r="G58" s="4" t="n">
        <v>22429</v>
      </c>
      <c r="H58" s="1" t="s">
        <v>29</v>
      </c>
      <c r="I58" s="5" t="n">
        <f aca="false">G58*12</f>
        <v>269148</v>
      </c>
      <c r="J58" s="6" t="n">
        <f aca="true">IF(ISBLANK(C58),"",YEARFRAC(C58,TODAY()))</f>
        <v>0.327777777777778</v>
      </c>
      <c r="K58" s="7" t="str">
        <f aca="false">IFERROR(VLOOKUP(D58,$A$19:$C$200,2,0),"L6")</f>
        <v>L6</v>
      </c>
      <c r="L58" s="6" t="n">
        <f aca="false">IFERROR(VLOOKUP(D58,$A$19:$C$200,3,0),0)</f>
        <v>0</v>
      </c>
      <c r="M58" s="5" t="n">
        <f aca="false">G58*L58</f>
        <v>0</v>
      </c>
      <c r="N58" s="5" t="n">
        <f aca="false">M58*12</f>
        <v>0</v>
      </c>
      <c r="O58" s="5" t="n">
        <f aca="false">G58*1.6</f>
        <v>35886.4</v>
      </c>
    </row>
    <row r="59" customFormat="false" ht="15" hidden="false" customHeight="true" outlineLevel="0" collapsed="false">
      <c r="A59" s="1" t="s">
        <v>178</v>
      </c>
      <c r="B59" s="1" t="s">
        <v>179</v>
      </c>
      <c r="C59" s="3" t="n">
        <v>45999</v>
      </c>
      <c r="D59" s="1" t="s">
        <v>40</v>
      </c>
      <c r="E59" s="1" t="s">
        <v>18</v>
      </c>
      <c r="F59" s="1" t="s">
        <v>19</v>
      </c>
      <c r="G59" s="4" t="n">
        <v>41008</v>
      </c>
      <c r="H59" s="1" t="s">
        <v>29</v>
      </c>
      <c r="I59" s="5" t="n">
        <f aca="false">G59*12</f>
        <v>492096</v>
      </c>
      <c r="J59" s="6" t="n">
        <f aca="true">IF(ISBLANK(C59),"",YEARFRAC(C59,TODAY()))</f>
        <v>0.308333333333333</v>
      </c>
      <c r="K59" s="7" t="str">
        <f aca="false">IFERROR(VLOOKUP(D59,$A$19:$C$200,2,0),"L6")</f>
        <v>L6</v>
      </c>
      <c r="L59" s="6" t="n">
        <f aca="false">IFERROR(VLOOKUP(D59,$A$19:$C$200,3,0),0)</f>
        <v>0</v>
      </c>
      <c r="M59" s="5" t="n">
        <f aca="false">G59*L59</f>
        <v>0</v>
      </c>
      <c r="N59" s="5" t="n">
        <f aca="false">M59*12</f>
        <v>0</v>
      </c>
      <c r="O59" s="5" t="n">
        <f aca="false">G59*1.6</f>
        <v>65612.8</v>
      </c>
    </row>
    <row r="60" customFormat="false" ht="15" hidden="false" customHeight="true" outlineLevel="0" collapsed="false">
      <c r="A60" s="1" t="s">
        <v>180</v>
      </c>
      <c r="B60" s="1" t="s">
        <v>157</v>
      </c>
      <c r="D60" s="1" t="s">
        <v>181</v>
      </c>
      <c r="E60" s="1" t="s">
        <v>24</v>
      </c>
      <c r="F60" s="1" t="s">
        <v>182</v>
      </c>
      <c r="G60" s="4" t="n">
        <v>12000</v>
      </c>
      <c r="H60" s="1" t="s">
        <v>183</v>
      </c>
      <c r="I60" s="5" t="n">
        <f aca="false">G60*12</f>
        <v>144000</v>
      </c>
      <c r="K60" s="7" t="str">
        <f aca="false">IFERROR(VLOOKUP(D60,$A$19:$C$200,2,0),"L6")</f>
        <v>L6</v>
      </c>
      <c r="L60" s="6" t="n">
        <f aca="false">IFERROR(VLOOKUP(D60,$A$19:$C$200,3,0),0)</f>
        <v>0</v>
      </c>
      <c r="M60" s="5" t="n">
        <f aca="false">G60*L60</f>
        <v>0</v>
      </c>
      <c r="N60" s="5" t="n">
        <f aca="false">M60*12</f>
        <v>0</v>
      </c>
      <c r="O60" s="5" t="n">
        <f aca="false">G60*1.6</f>
        <v>19200</v>
      </c>
    </row>
    <row r="61" customFormat="false" ht="15" hidden="false" customHeight="true" outlineLevel="0" collapsed="false">
      <c r="A61" s="1" t="s">
        <v>184</v>
      </c>
      <c r="B61" s="1" t="s">
        <v>157</v>
      </c>
      <c r="D61" s="1" t="s">
        <v>181</v>
      </c>
      <c r="E61" s="1" t="s">
        <v>24</v>
      </c>
      <c r="F61" s="1" t="s">
        <v>182</v>
      </c>
      <c r="G61" s="4" t="n">
        <v>15000</v>
      </c>
      <c r="H61" s="1" t="s">
        <v>183</v>
      </c>
      <c r="I61" s="5" t="n">
        <f aca="false">G61*12</f>
        <v>180000</v>
      </c>
      <c r="K61" s="7" t="str">
        <f aca="false">IFERROR(VLOOKUP(D61,$A$19:$C$200,2,0),"L6")</f>
        <v>L6</v>
      </c>
      <c r="L61" s="6" t="n">
        <f aca="false">IFERROR(VLOOKUP(D61,$A$19:$C$200,3,0),0)</f>
        <v>0</v>
      </c>
      <c r="M61" s="5" t="n">
        <f aca="false">G61*L61</f>
        <v>0</v>
      </c>
      <c r="N61" s="5" t="n">
        <f aca="false">M61*12</f>
        <v>0</v>
      </c>
      <c r="O61" s="5" t="n">
        <f aca="false">G61*1.6</f>
        <v>24000</v>
      </c>
    </row>
    <row r="62" customFormat="false" ht="15" hidden="false" customHeight="true" outlineLevel="0" collapsed="false">
      <c r="A62" s="1" t="s">
        <v>185</v>
      </c>
      <c r="B62" s="1" t="s">
        <v>157</v>
      </c>
      <c r="D62" s="1" t="s">
        <v>181</v>
      </c>
      <c r="E62" s="1" t="s">
        <v>24</v>
      </c>
      <c r="F62" s="1" t="s">
        <v>182</v>
      </c>
      <c r="G62" s="4" t="n">
        <v>10000</v>
      </c>
      <c r="H62" s="1" t="s">
        <v>183</v>
      </c>
      <c r="I62" s="5" t="n">
        <f aca="false">G62*12</f>
        <v>120000</v>
      </c>
      <c r="K62" s="7" t="str">
        <f aca="false">IFERROR(VLOOKUP(D62,$A$19:$C$200,2,0),"L6")</f>
        <v>L6</v>
      </c>
      <c r="L62" s="6" t="n">
        <f aca="false">IFERROR(VLOOKUP(D62,$A$19:$C$200,3,0),0)</f>
        <v>0</v>
      </c>
      <c r="M62" s="5" t="n">
        <f aca="false">G62*L62</f>
        <v>0</v>
      </c>
      <c r="N62" s="5" t="n">
        <f aca="false">M62*12</f>
        <v>0</v>
      </c>
      <c r="O62" s="5" t="n">
        <f aca="false">G62*1.6</f>
        <v>16000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&amp;LCONFIDENTIAL - Trustner Group&amp;C&amp;D&amp;RPage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2"/>
    <col collapsed="false" customWidth="true" hidden="false" outlineLevel="0" max="6" min="6" style="1" width="15"/>
  </cols>
  <sheetData>
    <row r="1" customFormat="false" ht="15" hidden="false" customHeight="true" outlineLevel="0" collapsed="false">
      <c r="A1" s="2" t="s">
        <v>186</v>
      </c>
      <c r="B1" s="2" t="s">
        <v>187</v>
      </c>
      <c r="C1" s="2" t="s">
        <v>188</v>
      </c>
      <c r="D1" s="2" t="s">
        <v>189</v>
      </c>
      <c r="E1" s="2" t="s">
        <v>190</v>
      </c>
      <c r="F1" s="2" t="s">
        <v>191</v>
      </c>
    </row>
    <row r="2" customFormat="false" ht="15" hidden="false" customHeight="true" outlineLevel="0" collapsed="false">
      <c r="A2" s="8" t="s">
        <v>192</v>
      </c>
      <c r="B2" s="8" t="n">
        <v>0</v>
      </c>
      <c r="C2" s="8" t="n">
        <v>80</v>
      </c>
      <c r="D2" s="9" t="n">
        <v>0</v>
      </c>
      <c r="E2" s="10" t="n">
        <v>0</v>
      </c>
      <c r="F2" s="8" t="s">
        <v>193</v>
      </c>
    </row>
    <row r="3" customFormat="false" ht="15" hidden="false" customHeight="true" outlineLevel="0" collapsed="false">
      <c r="A3" s="8" t="s">
        <v>194</v>
      </c>
      <c r="B3" s="8" t="n">
        <v>80</v>
      </c>
      <c r="C3" s="8" t="n">
        <v>100</v>
      </c>
      <c r="D3" s="9" t="n">
        <v>0.04</v>
      </c>
      <c r="E3" s="10" t="n">
        <v>1</v>
      </c>
      <c r="F3" s="8" t="s">
        <v>195</v>
      </c>
    </row>
    <row r="4" customFormat="false" ht="15" hidden="false" customHeight="true" outlineLevel="0" collapsed="false">
      <c r="A4" s="8" t="s">
        <v>196</v>
      </c>
      <c r="B4" s="8" t="n">
        <v>101</v>
      </c>
      <c r="C4" s="8" t="n">
        <v>110</v>
      </c>
      <c r="D4" s="9" t="n">
        <v>0.04</v>
      </c>
      <c r="E4" s="10" t="n">
        <v>1</v>
      </c>
      <c r="F4" s="8" t="s">
        <v>197</v>
      </c>
    </row>
    <row r="5" customFormat="false" ht="15" hidden="false" customHeight="true" outlineLevel="0" collapsed="false">
      <c r="A5" s="8" t="s">
        <v>198</v>
      </c>
      <c r="B5" s="8" t="n">
        <v>111</v>
      </c>
      <c r="C5" s="8" t="n">
        <v>130</v>
      </c>
      <c r="D5" s="9" t="n">
        <v>0.046</v>
      </c>
      <c r="E5" s="10" t="n">
        <v>1.15</v>
      </c>
      <c r="F5" s="8" t="s">
        <v>199</v>
      </c>
    </row>
    <row r="6" customFormat="false" ht="15" hidden="false" customHeight="true" outlineLevel="0" collapsed="false">
      <c r="A6" s="8" t="s">
        <v>200</v>
      </c>
      <c r="B6" s="8" t="n">
        <v>131</v>
      </c>
      <c r="C6" s="8" t="n">
        <v>150</v>
      </c>
      <c r="D6" s="9" t="n">
        <v>0.05</v>
      </c>
      <c r="E6" s="10" t="n">
        <v>1.25</v>
      </c>
      <c r="F6" s="8" t="s">
        <v>201</v>
      </c>
    </row>
    <row r="7" customFormat="false" ht="15" hidden="false" customHeight="true" outlineLevel="0" collapsed="false">
      <c r="A7" s="8" t="s">
        <v>202</v>
      </c>
      <c r="B7" s="8" t="n">
        <v>150</v>
      </c>
      <c r="C7" s="8" t="n">
        <v>999999</v>
      </c>
      <c r="D7" s="9" t="n">
        <v>0.06</v>
      </c>
      <c r="E7" s="10" t="n">
        <v>1.5</v>
      </c>
      <c r="F7" s="8" t="s">
        <v>203</v>
      </c>
    </row>
    <row r="10" customFormat="false" ht="15" hidden="false" customHeight="true" outlineLevel="0" collapsed="false">
      <c r="A10" s="11" t="s">
        <v>204</v>
      </c>
    </row>
    <row r="11" customFormat="false" ht="15" hidden="false" customHeight="true" outlineLevel="0" collapsed="false">
      <c r="A11" s="12" t="s">
        <v>205</v>
      </c>
      <c r="B11" s="12" t="s">
        <v>206</v>
      </c>
    </row>
    <row r="12" customFormat="false" ht="15" hidden="false" customHeight="true" outlineLevel="0" collapsed="false">
      <c r="A12" s="8" t="s">
        <v>207</v>
      </c>
      <c r="B12" s="10" t="n">
        <v>1.25</v>
      </c>
    </row>
    <row r="13" customFormat="false" ht="15" hidden="false" customHeight="true" outlineLevel="0" collapsed="false">
      <c r="A13" s="8" t="s">
        <v>208</v>
      </c>
      <c r="B13" s="10" t="n">
        <v>1</v>
      </c>
    </row>
    <row r="14" customFormat="false" ht="15" hidden="false" customHeight="true" outlineLevel="0" collapsed="false">
      <c r="A14" s="8" t="s">
        <v>209</v>
      </c>
      <c r="B14" s="10" t="n">
        <v>0.25</v>
      </c>
    </row>
    <row r="15" customFormat="false" ht="15" hidden="false" customHeight="true" outlineLevel="0" collapsed="false">
      <c r="A15" s="8" t="s">
        <v>210</v>
      </c>
      <c r="B15" s="10" t="n">
        <v>0.1</v>
      </c>
    </row>
    <row r="16" customFormat="false" ht="15" hidden="false" customHeight="true" outlineLevel="0" collapsed="false">
      <c r="A16" s="8" t="s">
        <v>211</v>
      </c>
      <c r="B16" s="10" t="n">
        <v>1</v>
      </c>
    </row>
    <row r="17" customFormat="false" ht="15" hidden="false" customHeight="true" outlineLevel="0" collapsed="false">
      <c r="A17" s="8" t="s">
        <v>212</v>
      </c>
      <c r="B17" s="10" t="n">
        <v>0.5</v>
      </c>
    </row>
    <row r="18" customFormat="false" ht="15" hidden="false" customHeight="true" outlineLevel="0" collapsed="false">
      <c r="A18" s="8" t="s">
        <v>213</v>
      </c>
      <c r="B18" s="10" t="n">
        <v>0.5</v>
      </c>
    </row>
    <row r="19" customFormat="false" ht="15" hidden="false" customHeight="true" outlineLevel="0" collapsed="false">
      <c r="A19" s="8" t="s">
        <v>214</v>
      </c>
      <c r="B19" s="10" t="n">
        <v>1</v>
      </c>
    </row>
    <row r="20" customFormat="false" ht="15" hidden="false" customHeight="true" outlineLevel="0" collapsed="false">
      <c r="A20" s="8" t="s">
        <v>215</v>
      </c>
      <c r="B20" s="10" t="n">
        <v>0.05</v>
      </c>
    </row>
    <row r="21" customFormat="false" ht="15" hidden="false" customHeight="true" outlineLevel="0" collapsed="false">
      <c r="A21" s="8" t="s">
        <v>216</v>
      </c>
      <c r="B21" s="10" t="n">
        <v>0.3</v>
      </c>
    </row>
    <row r="24" customFormat="false" ht="15" hidden="false" customHeight="true" outlineLevel="0" collapsed="false">
      <c r="A24" s="11" t="s">
        <v>217</v>
      </c>
    </row>
    <row r="25" customFormat="false" ht="15" hidden="false" customHeight="true" outlineLevel="0" collapsed="false">
      <c r="A25" s="12" t="s">
        <v>218</v>
      </c>
      <c r="B25" s="12" t="s">
        <v>219</v>
      </c>
      <c r="C25" s="12" t="s">
        <v>220</v>
      </c>
      <c r="D25" s="12" t="s">
        <v>221</v>
      </c>
    </row>
    <row r="26" customFormat="false" ht="15" hidden="false" customHeight="true" outlineLevel="0" collapsed="false">
      <c r="A26" s="8" t="s">
        <v>222</v>
      </c>
      <c r="B26" s="13" t="n">
        <v>0.25</v>
      </c>
      <c r="C26" s="13" t="n">
        <v>0.15</v>
      </c>
      <c r="D26" s="13" t="n">
        <v>0.6</v>
      </c>
    </row>
    <row r="27" customFormat="false" ht="15" hidden="false" customHeight="true" outlineLevel="0" collapsed="false">
      <c r="A27" s="8" t="s">
        <v>223</v>
      </c>
      <c r="B27" s="13" t="n">
        <v>0.15</v>
      </c>
      <c r="C27" s="13" t="n">
        <v>0.1</v>
      </c>
      <c r="D27" s="13" t="n">
        <v>0.75</v>
      </c>
    </row>
    <row r="28" customFormat="false" ht="15" hidden="false" customHeight="true" outlineLevel="0" collapsed="false">
      <c r="A28" s="8" t="s">
        <v>224</v>
      </c>
      <c r="B28" s="13" t="n">
        <v>0</v>
      </c>
      <c r="C28" s="13" t="n">
        <v>0.05</v>
      </c>
      <c r="D28" s="13" t="n">
        <v>0.95</v>
      </c>
    </row>
    <row r="29" customFormat="false" ht="15" hidden="false" customHeight="true" outlineLevel="0" collapsed="false">
      <c r="A29" s="8" t="s">
        <v>225</v>
      </c>
      <c r="B29" s="13" t="n">
        <v>0.1</v>
      </c>
      <c r="C29" s="13" t="n">
        <v>0.1</v>
      </c>
      <c r="D29" s="13" t="n"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&amp;LCONFIDENTIAL - Trustner Group&amp;C&amp;D&amp;RPage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R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6" min="4" style="1" width="12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10"/>
    <col collapsed="false" customWidth="true" hidden="false" outlineLevel="0" max="11" min="11" style="1" width="15"/>
    <col collapsed="false" customWidth="true" hidden="false" outlineLevel="0" max="12" min="12" style="1" width="12"/>
    <col collapsed="false" customWidth="true" hidden="false" outlineLevel="0" max="13" min="13" style="1" width="15"/>
    <col collapsed="false" customWidth="true" hidden="false" outlineLevel="0" max="14" min="14" style="1" width="12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8"/>
  </cols>
  <sheetData>
    <row r="1" customFormat="false" ht="39" hidden="false" customHeight="true" outlineLevel="0" collapsed="false">
      <c r="A1" s="2" t="s">
        <v>226</v>
      </c>
      <c r="B1" s="2" t="s">
        <v>227</v>
      </c>
      <c r="C1" s="2" t="s">
        <v>12</v>
      </c>
      <c r="D1" s="2" t="s">
        <v>228</v>
      </c>
      <c r="E1" s="2" t="s">
        <v>229</v>
      </c>
      <c r="F1" s="2" t="s">
        <v>230</v>
      </c>
      <c r="G1" s="2" t="s">
        <v>231</v>
      </c>
      <c r="H1" s="2" t="s">
        <v>232</v>
      </c>
      <c r="I1" s="2" t="s">
        <v>233</v>
      </c>
      <c r="J1" s="2" t="s">
        <v>234</v>
      </c>
      <c r="K1" s="2" t="s">
        <v>235</v>
      </c>
      <c r="L1" s="2" t="s">
        <v>186</v>
      </c>
      <c r="M1" s="2" t="s">
        <v>236</v>
      </c>
      <c r="N1" s="2" t="s">
        <v>237</v>
      </c>
      <c r="O1" s="2" t="s">
        <v>238</v>
      </c>
      <c r="P1" s="2" t="s">
        <v>239</v>
      </c>
      <c r="Q1" s="2" t="s">
        <v>240</v>
      </c>
      <c r="R1" s="2" t="s">
        <v>241</v>
      </c>
    </row>
    <row r="2" customFormat="false" ht="15" hidden="false" customHeight="true" outlineLevel="0" collapsed="false">
      <c r="A2" s="1" t="s">
        <v>15</v>
      </c>
      <c r="B2" s="4" t="n">
        <v>36017</v>
      </c>
      <c r="C2" s="4" t="n">
        <f aca="false">B2*2</f>
        <v>72034</v>
      </c>
      <c r="E2" s="14"/>
      <c r="F2" s="14"/>
      <c r="G2" s="14"/>
      <c r="H2" s="14"/>
      <c r="I2" s="14"/>
      <c r="J2" s="14"/>
      <c r="K2" s="5" t="n">
        <f aca="false">E2*1.25+F2+G2*0.5+H2*0.5+I2+J2</f>
        <v>0</v>
      </c>
      <c r="L2" s="15" t="n">
        <f aca="false">IF(C2=0,0,K2/C2)</f>
        <v>0</v>
      </c>
      <c r="M2" s="7" t="str">
        <f aca="false">IF(L2&lt;0.8,"No Incentive",IF(L2&lt;1,"Base",IF(L2&lt;1.11,"Standard",IF(L2&lt;1.31,"Enhanced",IF(L2&lt;1.51,"Super","Champion")))))</f>
        <v>No Incentive</v>
      </c>
      <c r="N2" s="16" t="n">
        <f aca="false">IF(L2&lt;0.8,0,IF(L2&lt;1,0.04,IF(L2&lt;1.11,0.04,IF(L2&lt;1.31,0.046,IF(L2&lt;1.51,0.05,0.06)))))</f>
        <v>0</v>
      </c>
      <c r="O2" s="5" t="n">
        <f aca="false">K2*N2</f>
        <v>0</v>
      </c>
      <c r="P2" s="5" t="n">
        <f aca="false">B2+O2</f>
        <v>36017</v>
      </c>
      <c r="Q2" s="7" t="str">
        <f aca="false">IF(K2&gt;=(B2*1.6),"YES","NO")</f>
        <v>NO</v>
      </c>
      <c r="R2" s="7" t="str">
        <f aca="false">IF(L2&lt;0.8,"Below Target",IF(L2&lt;1,"At Target",IF(L2&lt;1.3,"Above Target","Excellent")))</f>
        <v>Below Target</v>
      </c>
    </row>
    <row r="3" customFormat="false" ht="15" hidden="false" customHeight="true" outlineLevel="0" collapsed="false">
      <c r="A3" s="1" t="s">
        <v>25</v>
      </c>
      <c r="B3" s="4" t="n">
        <v>99751</v>
      </c>
      <c r="C3" s="4" t="n">
        <f aca="false">B3*2</f>
        <v>199502</v>
      </c>
      <c r="E3" s="14"/>
      <c r="F3" s="14"/>
      <c r="G3" s="14"/>
      <c r="H3" s="14"/>
      <c r="I3" s="14"/>
      <c r="J3" s="14"/>
      <c r="K3" s="5" t="n">
        <f aca="false">E3*1.25+F3+G3*0.5+H3*0.5+I3+J3</f>
        <v>0</v>
      </c>
      <c r="L3" s="15" t="n">
        <f aca="false">IF(C3=0,0,K3/C3)</f>
        <v>0</v>
      </c>
      <c r="M3" s="7" t="str">
        <f aca="false">IF(L3&lt;0.8,"No Incentive",IF(L3&lt;1,"Base",IF(L3&lt;1.11,"Standard",IF(L3&lt;1.31,"Enhanced",IF(L3&lt;1.51,"Super","Champion")))))</f>
        <v>No Incentive</v>
      </c>
      <c r="N3" s="16" t="n">
        <f aca="false">IF(L3&lt;0.8,0,IF(L3&lt;1,0.04,IF(L3&lt;1.11,0.04,IF(L3&lt;1.31,0.046,IF(L3&lt;1.51,0.05,0.06)))))</f>
        <v>0</v>
      </c>
      <c r="O3" s="5" t="n">
        <f aca="false">K3*N3</f>
        <v>0</v>
      </c>
      <c r="P3" s="5" t="n">
        <f aca="false">B3+O3</f>
        <v>99751</v>
      </c>
      <c r="Q3" s="7" t="str">
        <f aca="false">IF(K3&gt;=(B3*1.6),"YES","NO")</f>
        <v>NO</v>
      </c>
      <c r="R3" s="7" t="str">
        <f aca="false">IF(L3&lt;0.8,"Below Target",IF(L3&lt;1,"At Target",IF(L3&lt;1.3,"Above Target","Excellent")))</f>
        <v>Below Target</v>
      </c>
    </row>
    <row r="4" customFormat="false" ht="15" hidden="false" customHeight="true" outlineLevel="0" collapsed="false">
      <c r="A4" s="1" t="s">
        <v>30</v>
      </c>
      <c r="B4" s="4" t="n">
        <v>22449</v>
      </c>
      <c r="C4" s="4" t="n">
        <f aca="false">B4*2</f>
        <v>44898</v>
      </c>
      <c r="E4" s="14"/>
      <c r="F4" s="14"/>
      <c r="G4" s="14"/>
      <c r="H4" s="14"/>
      <c r="I4" s="14"/>
      <c r="J4" s="14"/>
      <c r="K4" s="5" t="n">
        <f aca="false">E4*1.25+F4+G4*0.5+H4*0.5+I4+J4</f>
        <v>0</v>
      </c>
      <c r="L4" s="15" t="n">
        <f aca="false">IF(C4=0,0,K4/C4)</f>
        <v>0</v>
      </c>
      <c r="M4" s="7" t="str">
        <f aca="false">IF(L4&lt;0.8,"No Incentive",IF(L4&lt;1,"Base",IF(L4&lt;1.11,"Standard",IF(L4&lt;1.31,"Enhanced",IF(L4&lt;1.51,"Super","Champion")))))</f>
        <v>No Incentive</v>
      </c>
      <c r="N4" s="16" t="n">
        <f aca="false">IF(L4&lt;0.8,0,IF(L4&lt;1,0.04,IF(L4&lt;1.11,0.04,IF(L4&lt;1.31,0.046,IF(L4&lt;1.51,0.05,0.06)))))</f>
        <v>0</v>
      </c>
      <c r="O4" s="5" t="n">
        <f aca="false">K4*N4</f>
        <v>0</v>
      </c>
      <c r="P4" s="5" t="n">
        <f aca="false">B4+O4</f>
        <v>22449</v>
      </c>
      <c r="Q4" s="7" t="str">
        <f aca="false">IF(K4&gt;=(B4*1.6),"YES","NO")</f>
        <v>NO</v>
      </c>
      <c r="R4" s="7" t="str">
        <f aca="false">IF(L4&lt;0.8,"Below Target",IF(L4&lt;1,"At Target",IF(L4&lt;1.3,"Above Target","Excellent")))</f>
        <v>Below Target</v>
      </c>
    </row>
    <row r="5" customFormat="false" ht="15" hidden="false" customHeight="true" outlineLevel="0" collapsed="false">
      <c r="A5" s="1" t="s">
        <v>38</v>
      </c>
      <c r="B5" s="4" t="n">
        <v>40440</v>
      </c>
      <c r="C5" s="4" t="n">
        <f aca="false">B5*2</f>
        <v>80880</v>
      </c>
      <c r="E5" s="14"/>
      <c r="F5" s="14"/>
      <c r="G5" s="14"/>
      <c r="H5" s="14"/>
      <c r="I5" s="14"/>
      <c r="J5" s="14"/>
      <c r="K5" s="5" t="n">
        <f aca="false">E5*1.25+F5+G5*0.5+H5*0.5+I5+J5</f>
        <v>0</v>
      </c>
      <c r="L5" s="15" t="n">
        <f aca="false">IF(C5=0,0,K5/C5)</f>
        <v>0</v>
      </c>
      <c r="M5" s="7" t="str">
        <f aca="false">IF(L5&lt;0.8,"No Incentive",IF(L5&lt;1,"Base",IF(L5&lt;1.11,"Standard",IF(L5&lt;1.31,"Enhanced",IF(L5&lt;1.51,"Super","Champion")))))</f>
        <v>No Incentive</v>
      </c>
      <c r="N5" s="16" t="n">
        <f aca="false">IF(L5&lt;0.8,0,IF(L5&lt;1,0.04,IF(L5&lt;1.11,0.04,IF(L5&lt;1.31,0.046,IF(L5&lt;1.51,0.05,0.06)))))</f>
        <v>0</v>
      </c>
      <c r="O5" s="5" t="n">
        <f aca="false">K5*N5</f>
        <v>0</v>
      </c>
      <c r="P5" s="5" t="n">
        <f aca="false">B5+O5</f>
        <v>40440</v>
      </c>
      <c r="Q5" s="7" t="str">
        <f aca="false">IF(K5&gt;=(B5*1.6),"YES","NO")</f>
        <v>NO</v>
      </c>
      <c r="R5" s="7" t="str">
        <f aca="false">IF(L5&lt;0.8,"Below Target",IF(L5&lt;1,"At Target",IF(L5&lt;1.3,"Above Target","Excellent")))</f>
        <v>Below Target</v>
      </c>
    </row>
    <row r="6" customFormat="false" ht="15" hidden="false" customHeight="true" outlineLevel="0" collapsed="false">
      <c r="A6" s="1" t="s">
        <v>41</v>
      </c>
      <c r="B6" s="4" t="n">
        <v>30000</v>
      </c>
      <c r="C6" s="4" t="n">
        <f aca="false">B6*2</f>
        <v>60000</v>
      </c>
      <c r="E6" s="14"/>
      <c r="F6" s="14"/>
      <c r="G6" s="14"/>
      <c r="H6" s="14"/>
      <c r="I6" s="14"/>
      <c r="J6" s="14"/>
      <c r="K6" s="5" t="n">
        <f aca="false">E6*1.25+F6+G6*0.5+H6*0.5+I6+J6</f>
        <v>0</v>
      </c>
      <c r="L6" s="15" t="n">
        <f aca="false">IF(C6=0,0,K6/C6)</f>
        <v>0</v>
      </c>
      <c r="M6" s="7" t="str">
        <f aca="false">IF(L6&lt;0.8,"No Incentive",IF(L6&lt;1,"Base",IF(L6&lt;1.11,"Standard",IF(L6&lt;1.31,"Enhanced",IF(L6&lt;1.51,"Super","Champion")))))</f>
        <v>No Incentive</v>
      </c>
      <c r="N6" s="16" t="n">
        <f aca="false">IF(L6&lt;0.8,0,IF(L6&lt;1,0.04,IF(L6&lt;1.11,0.04,IF(L6&lt;1.31,0.046,IF(L6&lt;1.51,0.05,0.06)))))</f>
        <v>0</v>
      </c>
      <c r="O6" s="5" t="n">
        <f aca="false">K6*N6</f>
        <v>0</v>
      </c>
      <c r="P6" s="5" t="n">
        <f aca="false">B6+O6</f>
        <v>30000</v>
      </c>
      <c r="Q6" s="7" t="str">
        <f aca="false">IF(K6&gt;=(B6*1.6),"YES","NO")</f>
        <v>NO</v>
      </c>
      <c r="R6" s="7" t="str">
        <f aca="false">IF(L6&lt;0.8,"Below Target",IF(L6&lt;1,"At Target",IF(L6&lt;1.3,"Above Target","Excellent")))</f>
        <v>Below Target</v>
      </c>
    </row>
    <row r="7" customFormat="false" ht="15" hidden="false" customHeight="true" outlineLevel="0" collapsed="false">
      <c r="A7" s="1" t="s">
        <v>47</v>
      </c>
      <c r="B7" s="4" t="n">
        <v>90000</v>
      </c>
      <c r="C7" s="4" t="n">
        <f aca="false">B7*2</f>
        <v>180000</v>
      </c>
      <c r="E7" s="14"/>
      <c r="F7" s="14"/>
      <c r="G7" s="14"/>
      <c r="H7" s="14"/>
      <c r="I7" s="14"/>
      <c r="J7" s="14"/>
      <c r="K7" s="5" t="n">
        <f aca="false">E7*1.25+F7+G7*0.5+H7*0.5+I7+J7</f>
        <v>0</v>
      </c>
      <c r="L7" s="15" t="n">
        <f aca="false">IF(C7=0,0,K7/C7)</f>
        <v>0</v>
      </c>
      <c r="M7" s="7" t="str">
        <f aca="false">IF(L7&lt;0.8,"No Incentive",IF(L7&lt;1,"Base",IF(L7&lt;1.11,"Standard",IF(L7&lt;1.31,"Enhanced",IF(L7&lt;1.51,"Super","Champion")))))</f>
        <v>No Incentive</v>
      </c>
      <c r="N7" s="16" t="n">
        <f aca="false">IF(L7&lt;0.8,0,IF(L7&lt;1,0.04,IF(L7&lt;1.11,0.04,IF(L7&lt;1.31,0.046,IF(L7&lt;1.51,0.05,0.06)))))</f>
        <v>0</v>
      </c>
      <c r="O7" s="5" t="n">
        <f aca="false">K7*N7</f>
        <v>0</v>
      </c>
      <c r="P7" s="5" t="n">
        <f aca="false">B7+O7</f>
        <v>90000</v>
      </c>
      <c r="Q7" s="7" t="str">
        <f aca="false">IF(K7&gt;=(B7*1.6),"YES","NO")</f>
        <v>NO</v>
      </c>
      <c r="R7" s="7" t="str">
        <f aca="false">IF(L7&lt;0.8,"Below Target",IF(L7&lt;1,"At Target",IF(L7&lt;1.3,"Above Target","Excellent")))</f>
        <v>Below Target</v>
      </c>
    </row>
    <row r="8" customFormat="false" ht="15" hidden="false" customHeight="true" outlineLevel="0" collapsed="false">
      <c r="A8" s="1" t="s">
        <v>61</v>
      </c>
      <c r="B8" s="4" t="n">
        <v>43700</v>
      </c>
      <c r="C8" s="4" t="n">
        <f aca="false">B8*2</f>
        <v>87400</v>
      </c>
      <c r="E8" s="14"/>
      <c r="F8" s="14"/>
      <c r="G8" s="14"/>
      <c r="H8" s="14"/>
      <c r="I8" s="14"/>
      <c r="J8" s="14"/>
      <c r="K8" s="5" t="n">
        <f aca="false">E8*1.25+F8+G8*0.5+H8*0.5+I8+J8</f>
        <v>0</v>
      </c>
      <c r="L8" s="15" t="n">
        <f aca="false">IF(C8=0,0,K8/C8)</f>
        <v>0</v>
      </c>
      <c r="M8" s="7" t="str">
        <f aca="false">IF(L8&lt;0.8,"No Incentive",IF(L8&lt;1,"Base",IF(L8&lt;1.11,"Standard",IF(L8&lt;1.31,"Enhanced",IF(L8&lt;1.51,"Super","Champion")))))</f>
        <v>No Incentive</v>
      </c>
      <c r="N8" s="16" t="n">
        <f aca="false">IF(L8&lt;0.8,0,IF(L8&lt;1,0.04,IF(L8&lt;1.11,0.04,IF(L8&lt;1.31,0.046,IF(L8&lt;1.51,0.05,0.06)))))</f>
        <v>0</v>
      </c>
      <c r="O8" s="5" t="n">
        <f aca="false">K8*N8</f>
        <v>0</v>
      </c>
      <c r="P8" s="5" t="n">
        <f aca="false">B8+O8</f>
        <v>43700</v>
      </c>
      <c r="Q8" s="7" t="str">
        <f aca="false">IF(K8&gt;=(B8*1.6),"YES","NO")</f>
        <v>NO</v>
      </c>
      <c r="R8" s="7" t="str">
        <f aca="false">IF(L8&lt;0.8,"Below Target",IF(L8&lt;1,"At Target",IF(L8&lt;1.3,"Above Target","Excellent")))</f>
        <v>Below Target</v>
      </c>
    </row>
    <row r="9" customFormat="false" ht="15" hidden="false" customHeight="true" outlineLevel="0" collapsed="false">
      <c r="A9" s="1" t="s">
        <v>65</v>
      </c>
      <c r="B9" s="4" t="n">
        <v>103500</v>
      </c>
      <c r="C9" s="4" t="n">
        <f aca="false">B9*2</f>
        <v>207000</v>
      </c>
      <c r="E9" s="14"/>
      <c r="F9" s="14"/>
      <c r="G9" s="14"/>
      <c r="H9" s="14"/>
      <c r="I9" s="14"/>
      <c r="J9" s="14"/>
      <c r="K9" s="5" t="n">
        <f aca="false">E9*1.25+F9+G9*0.5+H9*0.5+I9+J9</f>
        <v>0</v>
      </c>
      <c r="L9" s="15" t="n">
        <f aca="false">IF(C9=0,0,K9/C9)</f>
        <v>0</v>
      </c>
      <c r="M9" s="7" t="str">
        <f aca="false">IF(L9&lt;0.8,"No Incentive",IF(L9&lt;1,"Base",IF(L9&lt;1.11,"Standard",IF(L9&lt;1.31,"Enhanced",IF(L9&lt;1.51,"Super","Champion")))))</f>
        <v>No Incentive</v>
      </c>
      <c r="N9" s="16" t="n">
        <f aca="false">IF(L9&lt;0.8,0,IF(L9&lt;1,0.04,IF(L9&lt;1.11,0.04,IF(L9&lt;1.31,0.046,IF(L9&lt;1.51,0.05,0.06)))))</f>
        <v>0</v>
      </c>
      <c r="O9" s="5" t="n">
        <f aca="false">K9*N9</f>
        <v>0</v>
      </c>
      <c r="P9" s="5" t="n">
        <f aca="false">B9+O9</f>
        <v>103500</v>
      </c>
      <c r="Q9" s="7" t="str">
        <f aca="false">IF(K9&gt;=(B9*1.6),"YES","NO")</f>
        <v>NO</v>
      </c>
      <c r="R9" s="7" t="str">
        <f aca="false">IF(L9&lt;0.8,"Below Target",IF(L9&lt;1,"At Target",IF(L9&lt;1.3,"Above Target","Excellent")))</f>
        <v>Below Target</v>
      </c>
    </row>
    <row r="10" customFormat="false" ht="15" hidden="false" customHeight="true" outlineLevel="0" collapsed="false">
      <c r="A10" s="1" t="s">
        <v>74</v>
      </c>
      <c r="B10" s="4" t="n">
        <v>18011</v>
      </c>
      <c r="C10" s="4" t="n">
        <f aca="false">B10*2</f>
        <v>36022</v>
      </c>
      <c r="E10" s="14"/>
      <c r="F10" s="14"/>
      <c r="G10" s="14"/>
      <c r="H10" s="14"/>
      <c r="I10" s="14"/>
      <c r="J10" s="14"/>
      <c r="K10" s="5" t="n">
        <f aca="false">E10*1.25+F10+G10*0.5+H10*0.5+I10+J10</f>
        <v>0</v>
      </c>
      <c r="L10" s="15" t="n">
        <f aca="false">IF(C10=0,0,K10/C10)</f>
        <v>0</v>
      </c>
      <c r="M10" s="7" t="str">
        <f aca="false">IF(L10&lt;0.8,"No Incentive",IF(L10&lt;1,"Base",IF(L10&lt;1.11,"Standard",IF(L10&lt;1.31,"Enhanced",IF(L10&lt;1.51,"Super","Champion")))))</f>
        <v>No Incentive</v>
      </c>
      <c r="N10" s="16" t="n">
        <f aca="false">IF(L10&lt;0.8,0,IF(L10&lt;1,0.04,IF(L10&lt;1.11,0.04,IF(L10&lt;1.31,0.046,IF(L10&lt;1.51,0.05,0.06)))))</f>
        <v>0</v>
      </c>
      <c r="O10" s="5" t="n">
        <f aca="false">K10*N10</f>
        <v>0</v>
      </c>
      <c r="P10" s="5" t="n">
        <f aca="false">B10+O10</f>
        <v>18011</v>
      </c>
      <c r="Q10" s="7" t="str">
        <f aca="false">IF(K10&gt;=(B10*1.6),"YES","NO")</f>
        <v>NO</v>
      </c>
      <c r="R10" s="7" t="str">
        <f aca="false">IF(L10&lt;0.8,"Below Target",IF(L10&lt;1,"At Target",IF(L10&lt;1.3,"Above Target","Excellent")))</f>
        <v>Below Target</v>
      </c>
    </row>
    <row r="11" customFormat="false" ht="15" hidden="false" customHeight="true" outlineLevel="0" collapsed="false">
      <c r="A11" s="1" t="s">
        <v>78</v>
      </c>
      <c r="B11" s="4" t="n">
        <v>27008</v>
      </c>
      <c r="C11" s="4" t="n">
        <f aca="false">B11*2</f>
        <v>54016</v>
      </c>
      <c r="E11" s="14"/>
      <c r="F11" s="14"/>
      <c r="G11" s="14"/>
      <c r="H11" s="14"/>
      <c r="I11" s="14"/>
      <c r="J11" s="14"/>
      <c r="K11" s="5" t="n">
        <f aca="false">E11*1.25+F11+G11*0.5+H11*0.5+I11+J11</f>
        <v>0</v>
      </c>
      <c r="L11" s="15" t="n">
        <f aca="false">IF(C11=0,0,K11/C11)</f>
        <v>0</v>
      </c>
      <c r="M11" s="7" t="str">
        <f aca="false">IF(L11&lt;0.8,"No Incentive",IF(L11&lt;1,"Base",IF(L11&lt;1.11,"Standard",IF(L11&lt;1.31,"Enhanced",IF(L11&lt;1.51,"Super","Champion")))))</f>
        <v>No Incentive</v>
      </c>
      <c r="N11" s="16" t="n">
        <f aca="false">IF(L11&lt;0.8,0,IF(L11&lt;1,0.04,IF(L11&lt;1.11,0.04,IF(L11&lt;1.31,0.046,IF(L11&lt;1.51,0.05,0.06)))))</f>
        <v>0</v>
      </c>
      <c r="O11" s="5" t="n">
        <f aca="false">K11*N11</f>
        <v>0</v>
      </c>
      <c r="P11" s="5" t="n">
        <f aca="false">B11+O11</f>
        <v>27008</v>
      </c>
      <c r="Q11" s="7" t="str">
        <f aca="false">IF(K11&gt;=(B11*1.6),"YES","NO")</f>
        <v>NO</v>
      </c>
      <c r="R11" s="7" t="str">
        <f aca="false">IF(L11&lt;0.8,"Below Target",IF(L11&lt;1,"At Target",IF(L11&lt;1.3,"Above Target","Excellent")))</f>
        <v>Below Target</v>
      </c>
    </row>
    <row r="12" customFormat="false" ht="15" hidden="false" customHeight="true" outlineLevel="0" collapsed="false">
      <c r="A12" s="1" t="s">
        <v>82</v>
      </c>
      <c r="B12" s="4" t="n">
        <v>43200</v>
      </c>
      <c r="C12" s="4" t="n">
        <f aca="false">B12*2</f>
        <v>86400</v>
      </c>
      <c r="E12" s="14"/>
      <c r="F12" s="14"/>
      <c r="G12" s="14"/>
      <c r="H12" s="14"/>
      <c r="I12" s="14"/>
      <c r="J12" s="14"/>
      <c r="K12" s="5" t="n">
        <f aca="false">E12*1.25+F12+G12*0.5+H12*0.5+I12+J12</f>
        <v>0</v>
      </c>
      <c r="L12" s="15" t="n">
        <f aca="false">IF(C12=0,0,K12/C12)</f>
        <v>0</v>
      </c>
      <c r="M12" s="7" t="str">
        <f aca="false">IF(L12&lt;0.8,"No Incentive",IF(L12&lt;1,"Base",IF(L12&lt;1.11,"Standard",IF(L12&lt;1.31,"Enhanced",IF(L12&lt;1.51,"Super","Champion")))))</f>
        <v>No Incentive</v>
      </c>
      <c r="N12" s="16" t="n">
        <f aca="false">IF(L12&lt;0.8,0,IF(L12&lt;1,0.04,IF(L12&lt;1.11,0.04,IF(L12&lt;1.31,0.046,IF(L12&lt;1.51,0.05,0.06)))))</f>
        <v>0</v>
      </c>
      <c r="O12" s="5" t="n">
        <f aca="false">K12*N12</f>
        <v>0</v>
      </c>
      <c r="P12" s="5" t="n">
        <f aca="false">B12+O12</f>
        <v>43200</v>
      </c>
      <c r="Q12" s="7" t="str">
        <f aca="false">IF(K12&gt;=(B12*1.6),"YES","NO")</f>
        <v>NO</v>
      </c>
      <c r="R12" s="7" t="str">
        <f aca="false">IF(L12&lt;0.8,"Below Target",IF(L12&lt;1,"At Target",IF(L12&lt;1.3,"Above Target","Excellent")))</f>
        <v>Below Target</v>
      </c>
    </row>
    <row r="13" customFormat="false" ht="15" hidden="false" customHeight="true" outlineLevel="0" collapsed="false">
      <c r="A13" s="1" t="s">
        <v>84</v>
      </c>
      <c r="B13" s="4" t="n">
        <v>28200</v>
      </c>
      <c r="C13" s="4" t="n">
        <f aca="false">B13*2</f>
        <v>56400</v>
      </c>
      <c r="E13" s="14"/>
      <c r="F13" s="14"/>
      <c r="G13" s="14"/>
      <c r="H13" s="14"/>
      <c r="I13" s="14"/>
      <c r="J13" s="14"/>
      <c r="K13" s="5" t="n">
        <f aca="false">E13*1.25+F13+G13*0.5+H13*0.5+I13+J13</f>
        <v>0</v>
      </c>
      <c r="L13" s="15" t="n">
        <f aca="false">IF(C13=0,0,K13/C13)</f>
        <v>0</v>
      </c>
      <c r="M13" s="7" t="str">
        <f aca="false">IF(L13&lt;0.8,"No Incentive",IF(L13&lt;1,"Base",IF(L13&lt;1.11,"Standard",IF(L13&lt;1.31,"Enhanced",IF(L13&lt;1.51,"Super","Champion")))))</f>
        <v>No Incentive</v>
      </c>
      <c r="N13" s="16" t="n">
        <f aca="false">IF(L13&lt;0.8,0,IF(L13&lt;1,0.04,IF(L13&lt;1.11,0.04,IF(L13&lt;1.31,0.046,IF(L13&lt;1.51,0.05,0.06)))))</f>
        <v>0</v>
      </c>
      <c r="O13" s="5" t="n">
        <f aca="false">K13*N13</f>
        <v>0</v>
      </c>
      <c r="P13" s="5" t="n">
        <f aca="false">B13+O13</f>
        <v>28200</v>
      </c>
      <c r="Q13" s="7" t="str">
        <f aca="false">IF(K13&gt;=(B13*1.6),"YES","NO")</f>
        <v>NO</v>
      </c>
      <c r="R13" s="7" t="str">
        <f aca="false">IF(L13&lt;0.8,"Below Target",IF(L13&lt;1,"At Target",IF(L13&lt;1.3,"Above Target","Excellent")))</f>
        <v>Below Target</v>
      </c>
    </row>
    <row r="14" customFormat="false" ht="15" hidden="false" customHeight="true" outlineLevel="0" collapsed="false">
      <c r="A14" s="1" t="s">
        <v>88</v>
      </c>
      <c r="B14" s="4" t="n">
        <v>28200</v>
      </c>
      <c r="C14" s="4" t="n">
        <f aca="false">B14*2</f>
        <v>56400</v>
      </c>
      <c r="E14" s="14"/>
      <c r="F14" s="14"/>
      <c r="G14" s="14"/>
      <c r="H14" s="14"/>
      <c r="I14" s="14"/>
      <c r="J14" s="14"/>
      <c r="K14" s="5" t="n">
        <f aca="false">E14*1.25+F14+G14*0.5+H14*0.5+I14+J14</f>
        <v>0</v>
      </c>
      <c r="L14" s="15" t="n">
        <f aca="false">IF(C14=0,0,K14/C14)</f>
        <v>0</v>
      </c>
      <c r="M14" s="7" t="str">
        <f aca="false">IF(L14&lt;0.8,"No Incentive",IF(L14&lt;1,"Base",IF(L14&lt;1.11,"Standard",IF(L14&lt;1.31,"Enhanced",IF(L14&lt;1.51,"Super","Champion")))))</f>
        <v>No Incentive</v>
      </c>
      <c r="N14" s="16" t="n">
        <f aca="false">IF(L14&lt;0.8,0,IF(L14&lt;1,0.04,IF(L14&lt;1.11,0.04,IF(L14&lt;1.31,0.046,IF(L14&lt;1.51,0.05,0.06)))))</f>
        <v>0</v>
      </c>
      <c r="O14" s="5" t="n">
        <f aca="false">K14*N14</f>
        <v>0</v>
      </c>
      <c r="P14" s="5" t="n">
        <f aca="false">B14+O14</f>
        <v>28200</v>
      </c>
      <c r="Q14" s="7" t="str">
        <f aca="false">IF(K14&gt;=(B14*1.6),"YES","NO")</f>
        <v>NO</v>
      </c>
      <c r="R14" s="7" t="str">
        <f aca="false">IF(L14&lt;0.8,"Below Target",IF(L14&lt;1,"At Target",IF(L14&lt;1.3,"Above Target","Excellent")))</f>
        <v>Below Target</v>
      </c>
    </row>
    <row r="15" customFormat="false" ht="15" hidden="false" customHeight="true" outlineLevel="0" collapsed="false">
      <c r="A15" s="1" t="s">
        <v>95</v>
      </c>
      <c r="B15" s="4" t="n">
        <v>13286</v>
      </c>
      <c r="C15" s="4" t="n">
        <f aca="false">B15*2</f>
        <v>26572</v>
      </c>
      <c r="E15" s="14"/>
      <c r="F15" s="14"/>
      <c r="G15" s="14"/>
      <c r="H15" s="14"/>
      <c r="I15" s="14"/>
      <c r="J15" s="14"/>
      <c r="K15" s="5" t="n">
        <f aca="false">E15*1.25+F15+G15*0.5+H15*0.5+I15+J15</f>
        <v>0</v>
      </c>
      <c r="L15" s="15" t="n">
        <f aca="false">IF(C15=0,0,K15/C15)</f>
        <v>0</v>
      </c>
      <c r="M15" s="7" t="str">
        <f aca="false">IF(L15&lt;0.8,"No Incentive",IF(L15&lt;1,"Base",IF(L15&lt;1.11,"Standard",IF(L15&lt;1.31,"Enhanced",IF(L15&lt;1.51,"Super","Champion")))))</f>
        <v>No Incentive</v>
      </c>
      <c r="N15" s="16" t="n">
        <f aca="false">IF(L15&lt;0.8,0,IF(L15&lt;1,0.04,IF(L15&lt;1.11,0.04,IF(L15&lt;1.31,0.046,IF(L15&lt;1.51,0.05,0.06)))))</f>
        <v>0</v>
      </c>
      <c r="O15" s="5" t="n">
        <f aca="false">K15*N15</f>
        <v>0</v>
      </c>
      <c r="P15" s="5" t="n">
        <f aca="false">B15+O15</f>
        <v>13286</v>
      </c>
      <c r="Q15" s="7" t="str">
        <f aca="false">IF(K15&gt;=(B15*1.6),"YES","NO")</f>
        <v>NO</v>
      </c>
      <c r="R15" s="7" t="str">
        <f aca="false">IF(L15&lt;0.8,"Below Target",IF(L15&lt;1,"At Target",IF(L15&lt;1.3,"Above Target","Excellent")))</f>
        <v>Below Target</v>
      </c>
    </row>
    <row r="16" customFormat="false" ht="15" hidden="false" customHeight="true" outlineLevel="0" collapsed="false">
      <c r="A16" s="1" t="s">
        <v>98</v>
      </c>
      <c r="B16" s="4" t="n">
        <v>23200</v>
      </c>
      <c r="C16" s="4" t="n">
        <f aca="false">B16*2</f>
        <v>46400</v>
      </c>
      <c r="E16" s="14"/>
      <c r="F16" s="14"/>
      <c r="G16" s="14"/>
      <c r="H16" s="14"/>
      <c r="I16" s="14"/>
      <c r="J16" s="14"/>
      <c r="K16" s="5" t="n">
        <f aca="false">E16*1.25+F16+G16*0.5+H16*0.5+I16+J16</f>
        <v>0</v>
      </c>
      <c r="L16" s="15" t="n">
        <f aca="false">IF(C16=0,0,K16/C16)</f>
        <v>0</v>
      </c>
      <c r="M16" s="7" t="str">
        <f aca="false">IF(L16&lt;0.8,"No Incentive",IF(L16&lt;1,"Base",IF(L16&lt;1.11,"Standard",IF(L16&lt;1.31,"Enhanced",IF(L16&lt;1.51,"Super","Champion")))))</f>
        <v>No Incentive</v>
      </c>
      <c r="N16" s="16" t="n">
        <f aca="false">IF(L16&lt;0.8,0,IF(L16&lt;1,0.04,IF(L16&lt;1.11,0.04,IF(L16&lt;1.31,0.046,IF(L16&lt;1.51,0.05,0.06)))))</f>
        <v>0</v>
      </c>
      <c r="O16" s="5" t="n">
        <f aca="false">K16*N16</f>
        <v>0</v>
      </c>
      <c r="P16" s="5" t="n">
        <f aca="false">B16+O16</f>
        <v>23200</v>
      </c>
      <c r="Q16" s="7" t="str">
        <f aca="false">IF(K16&gt;=(B16*1.6),"YES","NO")</f>
        <v>NO</v>
      </c>
      <c r="R16" s="7" t="str">
        <f aca="false">IF(L16&lt;0.8,"Below Target",IF(L16&lt;1,"At Target",IF(L16&lt;1.3,"Above Target","Excellent")))</f>
        <v>Below Target</v>
      </c>
    </row>
    <row r="17" customFormat="false" ht="15" hidden="false" customHeight="true" outlineLevel="0" collapsed="false">
      <c r="A17" s="1" t="s">
        <v>100</v>
      </c>
      <c r="B17" s="4" t="n">
        <v>38200</v>
      </c>
      <c r="C17" s="4" t="n">
        <f aca="false">B17*2</f>
        <v>76400</v>
      </c>
      <c r="E17" s="14"/>
      <c r="F17" s="14"/>
      <c r="G17" s="14"/>
      <c r="H17" s="14"/>
      <c r="I17" s="14"/>
      <c r="J17" s="14"/>
      <c r="K17" s="5" t="n">
        <f aca="false">E17*1.25+F17+G17*0.5+H17*0.5+I17+J17</f>
        <v>0</v>
      </c>
      <c r="L17" s="15" t="n">
        <f aca="false">IF(C17=0,0,K17/C17)</f>
        <v>0</v>
      </c>
      <c r="M17" s="7" t="str">
        <f aca="false">IF(L17&lt;0.8,"No Incentive",IF(L17&lt;1,"Base",IF(L17&lt;1.11,"Standard",IF(L17&lt;1.31,"Enhanced",IF(L17&lt;1.51,"Super","Champion")))))</f>
        <v>No Incentive</v>
      </c>
      <c r="N17" s="16" t="n">
        <f aca="false">IF(L17&lt;0.8,0,IF(L17&lt;1,0.04,IF(L17&lt;1.11,0.04,IF(L17&lt;1.31,0.046,IF(L17&lt;1.51,0.05,0.06)))))</f>
        <v>0</v>
      </c>
      <c r="O17" s="5" t="n">
        <f aca="false">K17*N17</f>
        <v>0</v>
      </c>
      <c r="P17" s="5" t="n">
        <f aca="false">B17+O17</f>
        <v>38200</v>
      </c>
      <c r="Q17" s="7" t="str">
        <f aca="false">IF(K17&gt;=(B17*1.6),"YES","NO")</f>
        <v>NO</v>
      </c>
      <c r="R17" s="7" t="str">
        <f aca="false">IF(L17&lt;0.8,"Below Target",IF(L17&lt;1,"At Target",IF(L17&lt;1.3,"Above Target","Excellent")))</f>
        <v>Below Target</v>
      </c>
    </row>
    <row r="18" customFormat="false" ht="15" hidden="false" customHeight="true" outlineLevel="0" collapsed="false">
      <c r="A18" s="1" t="s">
        <v>105</v>
      </c>
      <c r="B18" s="4" t="n">
        <v>48200</v>
      </c>
      <c r="C18" s="4" t="n">
        <f aca="false">B18*2</f>
        <v>96400</v>
      </c>
      <c r="E18" s="14"/>
      <c r="F18" s="14"/>
      <c r="G18" s="14"/>
      <c r="H18" s="14"/>
      <c r="I18" s="14"/>
      <c r="J18" s="14"/>
      <c r="K18" s="5" t="n">
        <f aca="false">E18*1.25+F18+G18*0.5+H18*0.5+I18+J18</f>
        <v>0</v>
      </c>
      <c r="L18" s="15" t="n">
        <f aca="false">IF(C18=0,0,K18/C18)</f>
        <v>0</v>
      </c>
      <c r="M18" s="7" t="str">
        <f aca="false">IF(L18&lt;0.8,"No Incentive",IF(L18&lt;1,"Base",IF(L18&lt;1.11,"Standard",IF(L18&lt;1.31,"Enhanced",IF(L18&lt;1.51,"Super","Champion")))))</f>
        <v>No Incentive</v>
      </c>
      <c r="N18" s="16" t="n">
        <f aca="false">IF(L18&lt;0.8,0,IF(L18&lt;1,0.04,IF(L18&lt;1.11,0.04,IF(L18&lt;1.31,0.046,IF(L18&lt;1.51,0.05,0.06)))))</f>
        <v>0</v>
      </c>
      <c r="O18" s="5" t="n">
        <f aca="false">K18*N18</f>
        <v>0</v>
      </c>
      <c r="P18" s="5" t="n">
        <f aca="false">B18+O18</f>
        <v>48200</v>
      </c>
      <c r="Q18" s="7" t="str">
        <f aca="false">IF(K18&gt;=(B18*1.6),"YES","NO")</f>
        <v>NO</v>
      </c>
      <c r="R18" s="7" t="str">
        <f aca="false">IF(L18&lt;0.8,"Below Target",IF(L18&lt;1,"At Target",IF(L18&lt;1.3,"Above Target","Excellent")))</f>
        <v>Below Target</v>
      </c>
    </row>
    <row r="19" customFormat="false" ht="15" hidden="false" customHeight="true" outlineLevel="0" collapsed="false">
      <c r="A19" s="1" t="s">
        <v>110</v>
      </c>
      <c r="B19" s="4" t="n">
        <v>16209</v>
      </c>
      <c r="C19" s="4" t="n">
        <f aca="false">B19*2</f>
        <v>32418</v>
      </c>
      <c r="E19" s="14"/>
      <c r="F19" s="14"/>
      <c r="G19" s="14"/>
      <c r="H19" s="14"/>
      <c r="I19" s="14"/>
      <c r="J19" s="14"/>
      <c r="K19" s="5" t="n">
        <f aca="false">E19*1.25+F19+G19*0.5+H19*0.5+I19+J19</f>
        <v>0</v>
      </c>
      <c r="L19" s="15" t="n">
        <f aca="false">IF(C19=0,0,K19/C19)</f>
        <v>0</v>
      </c>
      <c r="M19" s="7" t="str">
        <f aca="false">IF(L19&lt;0.8,"No Incentive",IF(L19&lt;1,"Base",IF(L19&lt;1.11,"Standard",IF(L19&lt;1.31,"Enhanced",IF(L19&lt;1.51,"Super","Champion")))))</f>
        <v>No Incentive</v>
      </c>
      <c r="N19" s="16" t="n">
        <f aca="false">IF(L19&lt;0.8,0,IF(L19&lt;1,0.04,IF(L19&lt;1.11,0.04,IF(L19&lt;1.31,0.046,IF(L19&lt;1.51,0.05,0.06)))))</f>
        <v>0</v>
      </c>
      <c r="O19" s="5" t="n">
        <f aca="false">K19*N19</f>
        <v>0</v>
      </c>
      <c r="P19" s="5" t="n">
        <f aca="false">B19+O19</f>
        <v>16209</v>
      </c>
      <c r="Q19" s="7" t="str">
        <f aca="false">IF(K19&gt;=(B19*1.6),"YES","NO")</f>
        <v>NO</v>
      </c>
      <c r="R19" s="7" t="str">
        <f aca="false">IF(L19&lt;0.8,"Below Target",IF(L19&lt;1,"At Target",IF(L19&lt;1.3,"Above Target","Excellent")))</f>
        <v>Below Target</v>
      </c>
    </row>
    <row r="20" customFormat="false" ht="15" hidden="false" customHeight="true" outlineLevel="0" collapsed="false">
      <c r="A20" s="1" t="s">
        <v>113</v>
      </c>
      <c r="B20" s="4" t="n">
        <v>95833</v>
      </c>
      <c r="C20" s="4" t="n">
        <f aca="false">B20*2</f>
        <v>191666</v>
      </c>
      <c r="E20" s="14"/>
      <c r="F20" s="14"/>
      <c r="G20" s="14"/>
      <c r="H20" s="14"/>
      <c r="I20" s="14"/>
      <c r="J20" s="14"/>
      <c r="K20" s="5" t="n">
        <f aca="false">E20*1.25+F20+G20*0.5+H20*0.5+I20+J20</f>
        <v>0</v>
      </c>
      <c r="L20" s="15" t="n">
        <f aca="false">IF(C20=0,0,K20/C20)</f>
        <v>0</v>
      </c>
      <c r="M20" s="7" t="str">
        <f aca="false">IF(L20&lt;0.8,"No Incentive",IF(L20&lt;1,"Base",IF(L20&lt;1.11,"Standard",IF(L20&lt;1.31,"Enhanced",IF(L20&lt;1.51,"Super","Champion")))))</f>
        <v>No Incentive</v>
      </c>
      <c r="N20" s="16" t="n">
        <f aca="false">IF(L20&lt;0.8,0,IF(L20&lt;1,0.04,IF(L20&lt;1.11,0.04,IF(L20&lt;1.31,0.046,IF(L20&lt;1.51,0.05,0.06)))))</f>
        <v>0</v>
      </c>
      <c r="O20" s="5" t="n">
        <f aca="false">K20*N20</f>
        <v>0</v>
      </c>
      <c r="P20" s="5" t="n">
        <f aca="false">B20+O20</f>
        <v>95833</v>
      </c>
      <c r="Q20" s="7" t="str">
        <f aca="false">IF(K20&gt;=(B20*1.6),"YES","NO")</f>
        <v>NO</v>
      </c>
      <c r="R20" s="7" t="str">
        <f aca="false">IF(L20&lt;0.8,"Below Target",IF(L20&lt;1,"At Target",IF(L20&lt;1.3,"Above Target","Excellent")))</f>
        <v>Below Target</v>
      </c>
    </row>
    <row r="21" customFormat="false" ht="15" hidden="false" customHeight="true" outlineLevel="0" collapsed="false">
      <c r="A21" s="1" t="s">
        <v>119</v>
      </c>
      <c r="B21" s="4" t="n">
        <v>13507</v>
      </c>
      <c r="C21" s="4" t="n">
        <f aca="false">B21*2</f>
        <v>27014</v>
      </c>
      <c r="E21" s="14"/>
      <c r="F21" s="14"/>
      <c r="G21" s="14"/>
      <c r="H21" s="14"/>
      <c r="I21" s="14"/>
      <c r="J21" s="14"/>
      <c r="K21" s="5" t="n">
        <f aca="false">E21*1.25+F21+G21*0.5+H21*0.5+I21+J21</f>
        <v>0</v>
      </c>
      <c r="L21" s="15" t="n">
        <f aca="false">IF(C21=0,0,K21/C21)</f>
        <v>0</v>
      </c>
      <c r="M21" s="7" t="str">
        <f aca="false">IF(L21&lt;0.8,"No Incentive",IF(L21&lt;1,"Base",IF(L21&lt;1.11,"Standard",IF(L21&lt;1.31,"Enhanced",IF(L21&lt;1.51,"Super","Champion")))))</f>
        <v>No Incentive</v>
      </c>
      <c r="N21" s="16" t="n">
        <f aca="false">IF(L21&lt;0.8,0,IF(L21&lt;1,0.04,IF(L21&lt;1.11,0.04,IF(L21&lt;1.31,0.046,IF(L21&lt;1.51,0.05,0.06)))))</f>
        <v>0</v>
      </c>
      <c r="O21" s="5" t="n">
        <f aca="false">K21*N21</f>
        <v>0</v>
      </c>
      <c r="P21" s="5" t="n">
        <f aca="false">B21+O21</f>
        <v>13507</v>
      </c>
      <c r="Q21" s="7" t="str">
        <f aca="false">IF(K21&gt;=(B21*1.6),"YES","NO")</f>
        <v>NO</v>
      </c>
      <c r="R21" s="7" t="str">
        <f aca="false">IF(L21&lt;0.8,"Below Target",IF(L21&lt;1,"At Target",IF(L21&lt;1.3,"Above Target","Excellent")))</f>
        <v>Below Target</v>
      </c>
    </row>
    <row r="22" customFormat="false" ht="15" hidden="false" customHeight="true" outlineLevel="0" collapsed="false">
      <c r="A22" s="1" t="s">
        <v>128</v>
      </c>
      <c r="B22" s="4" t="n">
        <v>30363</v>
      </c>
      <c r="C22" s="4" t="n">
        <f aca="false">B22*2</f>
        <v>60726</v>
      </c>
      <c r="E22" s="14"/>
      <c r="F22" s="14"/>
      <c r="G22" s="14"/>
      <c r="H22" s="14"/>
      <c r="I22" s="14"/>
      <c r="J22" s="14"/>
      <c r="K22" s="5" t="n">
        <f aca="false">E22*1.25+F22+G22*0.5+H22*0.5+I22+J22</f>
        <v>0</v>
      </c>
      <c r="L22" s="15" t="n">
        <f aca="false">IF(C22=0,0,K22/C22)</f>
        <v>0</v>
      </c>
      <c r="M22" s="7" t="str">
        <f aca="false">IF(L22&lt;0.8,"No Incentive",IF(L22&lt;1,"Base",IF(L22&lt;1.11,"Standard",IF(L22&lt;1.31,"Enhanced",IF(L22&lt;1.51,"Super","Champion")))))</f>
        <v>No Incentive</v>
      </c>
      <c r="N22" s="16" t="n">
        <f aca="false">IF(L22&lt;0.8,0,IF(L22&lt;1,0.04,IF(L22&lt;1.11,0.04,IF(L22&lt;1.31,0.046,IF(L22&lt;1.51,0.05,0.06)))))</f>
        <v>0</v>
      </c>
      <c r="O22" s="5" t="n">
        <f aca="false">K22*N22</f>
        <v>0</v>
      </c>
      <c r="P22" s="5" t="n">
        <f aca="false">B22+O22</f>
        <v>30363</v>
      </c>
      <c r="Q22" s="7" t="str">
        <f aca="false">IF(K22&gt;=(B22*1.6),"YES","NO")</f>
        <v>NO</v>
      </c>
      <c r="R22" s="7" t="str">
        <f aca="false">IF(L22&lt;0.8,"Below Target",IF(L22&lt;1,"At Target",IF(L22&lt;1.3,"Above Target","Excellent")))</f>
        <v>Below Target</v>
      </c>
    </row>
    <row r="23" customFormat="false" ht="15" hidden="false" customHeight="true" outlineLevel="0" collapsed="false">
      <c r="A23" s="1" t="s">
        <v>131</v>
      </c>
      <c r="B23" s="4" t="n">
        <v>44035</v>
      </c>
      <c r="C23" s="4" t="n">
        <f aca="false">B23*2</f>
        <v>88070</v>
      </c>
      <c r="E23" s="14"/>
      <c r="F23" s="14"/>
      <c r="G23" s="14"/>
      <c r="H23" s="14"/>
      <c r="I23" s="14"/>
      <c r="J23" s="14"/>
      <c r="K23" s="5" t="n">
        <f aca="false">E23*1.25+F23+G23*0.5+H23*0.5+I23+J23</f>
        <v>0</v>
      </c>
      <c r="L23" s="15" t="n">
        <f aca="false">IF(C23=0,0,K23/C23)</f>
        <v>0</v>
      </c>
      <c r="M23" s="7" t="str">
        <f aca="false">IF(L23&lt;0.8,"No Incentive",IF(L23&lt;1,"Base",IF(L23&lt;1.11,"Standard",IF(L23&lt;1.31,"Enhanced",IF(L23&lt;1.51,"Super","Champion")))))</f>
        <v>No Incentive</v>
      </c>
      <c r="N23" s="16" t="n">
        <f aca="false">IF(L23&lt;0.8,0,IF(L23&lt;1,0.04,IF(L23&lt;1.11,0.04,IF(L23&lt;1.31,0.046,IF(L23&lt;1.51,0.05,0.06)))))</f>
        <v>0</v>
      </c>
      <c r="O23" s="5" t="n">
        <f aca="false">K23*N23</f>
        <v>0</v>
      </c>
      <c r="P23" s="5" t="n">
        <f aca="false">B23+O23</f>
        <v>44035</v>
      </c>
      <c r="Q23" s="7" t="str">
        <f aca="false">IF(K23&gt;=(B23*1.6),"YES","NO")</f>
        <v>NO</v>
      </c>
      <c r="R23" s="7" t="str">
        <f aca="false">IF(L23&lt;0.8,"Below Target",IF(L23&lt;1,"At Target",IF(L23&lt;1.3,"Above Target","Excellent")))</f>
        <v>Below Target</v>
      </c>
    </row>
    <row r="24" customFormat="false" ht="15" hidden="false" customHeight="true" outlineLevel="0" collapsed="false">
      <c r="A24" s="1" t="s">
        <v>134</v>
      </c>
      <c r="B24" s="4" t="n">
        <v>41534</v>
      </c>
      <c r="C24" s="4" t="n">
        <f aca="false">B24*2</f>
        <v>83068</v>
      </c>
      <c r="E24" s="14"/>
      <c r="F24" s="14"/>
      <c r="G24" s="14"/>
      <c r="H24" s="14"/>
      <c r="I24" s="14"/>
      <c r="J24" s="14"/>
      <c r="K24" s="5" t="n">
        <f aca="false">E24*1.25+F24+G24*0.5+H24*0.5+I24+J24</f>
        <v>0</v>
      </c>
      <c r="L24" s="15" t="n">
        <f aca="false">IF(C24=0,0,K24/C24)</f>
        <v>0</v>
      </c>
      <c r="M24" s="7" t="str">
        <f aca="false">IF(L24&lt;0.8,"No Incentive",IF(L24&lt;1,"Base",IF(L24&lt;1.11,"Standard",IF(L24&lt;1.31,"Enhanced",IF(L24&lt;1.51,"Super","Champion")))))</f>
        <v>No Incentive</v>
      </c>
      <c r="N24" s="16" t="n">
        <f aca="false">IF(L24&lt;0.8,0,IF(L24&lt;1,0.04,IF(L24&lt;1.11,0.04,IF(L24&lt;1.31,0.046,IF(L24&lt;1.51,0.05,0.06)))))</f>
        <v>0</v>
      </c>
      <c r="O24" s="5" t="n">
        <f aca="false">K24*N24</f>
        <v>0</v>
      </c>
      <c r="P24" s="5" t="n">
        <f aca="false">B24+O24</f>
        <v>41534</v>
      </c>
      <c r="Q24" s="7" t="str">
        <f aca="false">IF(K24&gt;=(B24*1.6),"YES","NO")</f>
        <v>NO</v>
      </c>
      <c r="R24" s="7" t="str">
        <f aca="false">IF(L24&lt;0.8,"Below Target",IF(L24&lt;1,"At Target",IF(L24&lt;1.3,"Above Target","Excellent")))</f>
        <v>Below Target</v>
      </c>
    </row>
    <row r="25" customFormat="false" ht="15" hidden="false" customHeight="true" outlineLevel="0" collapsed="false">
      <c r="A25" s="1" t="s">
        <v>136</v>
      </c>
      <c r="B25" s="4" t="n">
        <v>18009</v>
      </c>
      <c r="C25" s="4" t="n">
        <f aca="false">B25*2</f>
        <v>36018</v>
      </c>
      <c r="E25" s="14"/>
      <c r="F25" s="14"/>
      <c r="G25" s="14"/>
      <c r="H25" s="14"/>
      <c r="I25" s="14"/>
      <c r="J25" s="14"/>
      <c r="K25" s="5" t="n">
        <f aca="false">E25*1.25+F25+G25*0.5+H25*0.5+I25+J25</f>
        <v>0</v>
      </c>
      <c r="L25" s="15" t="n">
        <f aca="false">IF(C25=0,0,K25/C25)</f>
        <v>0</v>
      </c>
      <c r="M25" s="7" t="str">
        <f aca="false">IF(L25&lt;0.8,"No Incentive",IF(L25&lt;1,"Base",IF(L25&lt;1.11,"Standard",IF(L25&lt;1.31,"Enhanced",IF(L25&lt;1.51,"Super","Champion")))))</f>
        <v>No Incentive</v>
      </c>
      <c r="N25" s="16" t="n">
        <f aca="false">IF(L25&lt;0.8,0,IF(L25&lt;1,0.04,IF(L25&lt;1.11,0.04,IF(L25&lt;1.31,0.046,IF(L25&lt;1.51,0.05,0.06)))))</f>
        <v>0</v>
      </c>
      <c r="O25" s="5" t="n">
        <f aca="false">K25*N25</f>
        <v>0</v>
      </c>
      <c r="P25" s="5" t="n">
        <f aca="false">B25+O25</f>
        <v>18009</v>
      </c>
      <c r="Q25" s="7" t="str">
        <f aca="false">IF(K25&gt;=(B25*1.6),"YES","NO")</f>
        <v>NO</v>
      </c>
      <c r="R25" s="7" t="str">
        <f aca="false">IF(L25&lt;0.8,"Below Target",IF(L25&lt;1,"At Target",IF(L25&lt;1.3,"Above Target","Excellent")))</f>
        <v>Below Target</v>
      </c>
    </row>
    <row r="26" customFormat="false" ht="15" hidden="false" customHeight="true" outlineLevel="0" collapsed="false">
      <c r="A26" s="1" t="s">
        <v>138</v>
      </c>
      <c r="B26" s="4" t="n">
        <v>66117</v>
      </c>
      <c r="C26" s="4" t="n">
        <f aca="false">B26*2</f>
        <v>132234</v>
      </c>
      <c r="E26" s="14"/>
      <c r="F26" s="14"/>
      <c r="G26" s="14"/>
      <c r="H26" s="14"/>
      <c r="I26" s="14"/>
      <c r="J26" s="14"/>
      <c r="K26" s="5" t="n">
        <f aca="false">E26*1.25+F26+G26*0.5+H26*0.5+I26+J26</f>
        <v>0</v>
      </c>
      <c r="L26" s="15" t="n">
        <f aca="false">IF(C26=0,0,K26/C26)</f>
        <v>0</v>
      </c>
      <c r="M26" s="7" t="str">
        <f aca="false">IF(L26&lt;0.8,"No Incentive",IF(L26&lt;1,"Base",IF(L26&lt;1.11,"Standard",IF(L26&lt;1.31,"Enhanced",IF(L26&lt;1.51,"Super","Champion")))))</f>
        <v>No Incentive</v>
      </c>
      <c r="N26" s="16" t="n">
        <f aca="false">IF(L26&lt;0.8,0,IF(L26&lt;1,0.04,IF(L26&lt;1.11,0.04,IF(L26&lt;1.31,0.046,IF(L26&lt;1.51,0.05,0.06)))))</f>
        <v>0</v>
      </c>
      <c r="O26" s="5" t="n">
        <f aca="false">K26*N26</f>
        <v>0</v>
      </c>
      <c r="P26" s="5" t="n">
        <f aca="false">B26+O26</f>
        <v>66117</v>
      </c>
      <c r="Q26" s="7" t="str">
        <f aca="false">IF(K26&gt;=(B26*1.6),"YES","NO")</f>
        <v>NO</v>
      </c>
      <c r="R26" s="7" t="str">
        <f aca="false">IF(L26&lt;0.8,"Below Target",IF(L26&lt;1,"At Target",IF(L26&lt;1.3,"Above Target","Excellent")))</f>
        <v>Below Target</v>
      </c>
    </row>
    <row r="27" customFormat="false" ht="15" hidden="false" customHeight="true" outlineLevel="0" collapsed="false">
      <c r="A27" s="1" t="s">
        <v>141</v>
      </c>
      <c r="B27" s="4" t="n">
        <v>6000</v>
      </c>
      <c r="C27" s="4" t="n">
        <f aca="false">B27*2</f>
        <v>12000</v>
      </c>
      <c r="E27" s="14"/>
      <c r="F27" s="14"/>
      <c r="G27" s="14"/>
      <c r="H27" s="14"/>
      <c r="I27" s="14"/>
      <c r="J27" s="14"/>
      <c r="K27" s="5" t="n">
        <f aca="false">E27*1.25+F27+G27*0.5+H27*0.5+I27+J27</f>
        <v>0</v>
      </c>
      <c r="L27" s="15" t="n">
        <f aca="false">IF(C27=0,0,K27/C27)</f>
        <v>0</v>
      </c>
      <c r="M27" s="7" t="str">
        <f aca="false">IF(L27&lt;0.8,"No Incentive",IF(L27&lt;1,"Base",IF(L27&lt;1.11,"Standard",IF(L27&lt;1.31,"Enhanced",IF(L27&lt;1.51,"Super","Champion")))))</f>
        <v>No Incentive</v>
      </c>
      <c r="N27" s="16" t="n">
        <f aca="false">IF(L27&lt;0.8,0,IF(L27&lt;1,0.04,IF(L27&lt;1.11,0.04,IF(L27&lt;1.31,0.046,IF(L27&lt;1.51,0.05,0.06)))))</f>
        <v>0</v>
      </c>
      <c r="O27" s="5" t="n">
        <f aca="false">K27*N27</f>
        <v>0</v>
      </c>
      <c r="P27" s="5" t="n">
        <f aca="false">B27+O27</f>
        <v>6000</v>
      </c>
      <c r="Q27" s="7" t="str">
        <f aca="false">IF(K27&gt;=(B27*1.6),"YES","NO")</f>
        <v>NO</v>
      </c>
      <c r="R27" s="7" t="str">
        <f aca="false">IF(L27&lt;0.8,"Below Target",IF(L27&lt;1,"At Target",IF(L27&lt;1.3,"Above Target","Excellent")))</f>
        <v>Below Target</v>
      </c>
    </row>
    <row r="28" customFormat="false" ht="15" hidden="false" customHeight="true" outlineLevel="0" collapsed="false">
      <c r="A28" s="1" t="s">
        <v>146</v>
      </c>
      <c r="B28" s="4" t="n">
        <v>112008</v>
      </c>
      <c r="C28" s="4" t="n">
        <f aca="false">B28*2</f>
        <v>224016</v>
      </c>
      <c r="E28" s="14"/>
      <c r="F28" s="14"/>
      <c r="G28" s="14"/>
      <c r="H28" s="14"/>
      <c r="I28" s="14"/>
      <c r="J28" s="14"/>
      <c r="K28" s="5" t="n">
        <f aca="false">E28*1.25+F28+G28*0.5+H28*0.5+I28+J28</f>
        <v>0</v>
      </c>
      <c r="L28" s="15" t="n">
        <f aca="false">IF(C28=0,0,K28/C28)</f>
        <v>0</v>
      </c>
      <c r="M28" s="7" t="str">
        <f aca="false">IF(L28&lt;0.8,"No Incentive",IF(L28&lt;1,"Base",IF(L28&lt;1.11,"Standard",IF(L28&lt;1.31,"Enhanced",IF(L28&lt;1.51,"Super","Champion")))))</f>
        <v>No Incentive</v>
      </c>
      <c r="N28" s="16" t="n">
        <f aca="false">IF(L28&lt;0.8,0,IF(L28&lt;1,0.04,IF(L28&lt;1.11,0.04,IF(L28&lt;1.31,0.046,IF(L28&lt;1.51,0.05,0.06)))))</f>
        <v>0</v>
      </c>
      <c r="O28" s="5" t="n">
        <f aca="false">K28*N28</f>
        <v>0</v>
      </c>
      <c r="P28" s="5" t="n">
        <f aca="false">B28+O28</f>
        <v>112008</v>
      </c>
      <c r="Q28" s="7" t="str">
        <f aca="false">IF(K28&gt;=(B28*1.6),"YES","NO")</f>
        <v>NO</v>
      </c>
      <c r="R28" s="7" t="str">
        <f aca="false">IF(L28&lt;0.8,"Below Target",IF(L28&lt;1,"At Target",IF(L28&lt;1.3,"Above Target","Excellent")))</f>
        <v>Below Target</v>
      </c>
    </row>
    <row r="29" customFormat="false" ht="15" hidden="false" customHeight="true" outlineLevel="0" collapsed="false">
      <c r="A29" s="1" t="s">
        <v>156</v>
      </c>
      <c r="B29" s="4" t="n">
        <v>300000</v>
      </c>
      <c r="C29" s="4" t="n">
        <f aca="false">B29*2</f>
        <v>600000</v>
      </c>
      <c r="E29" s="14"/>
      <c r="F29" s="14"/>
      <c r="G29" s="14"/>
      <c r="H29" s="14"/>
      <c r="I29" s="14"/>
      <c r="J29" s="14"/>
      <c r="K29" s="5" t="n">
        <f aca="false">E29*1.25+F29+G29*0.5+H29*0.5+I29+J29</f>
        <v>0</v>
      </c>
      <c r="L29" s="15" t="n">
        <f aca="false">IF(C29=0,0,K29/C29)</f>
        <v>0</v>
      </c>
      <c r="M29" s="7" t="str">
        <f aca="false">IF(L29&lt;0.8,"No Incentive",IF(L29&lt;1,"Base",IF(L29&lt;1.11,"Standard",IF(L29&lt;1.31,"Enhanced",IF(L29&lt;1.51,"Super","Champion")))))</f>
        <v>No Incentive</v>
      </c>
      <c r="N29" s="16" t="n">
        <f aca="false">IF(L29&lt;0.8,0,IF(L29&lt;1,0.04,IF(L29&lt;1.11,0.04,IF(L29&lt;1.31,0.046,IF(L29&lt;1.51,0.05,0.06)))))</f>
        <v>0</v>
      </c>
      <c r="O29" s="5" t="n">
        <f aca="false">K29*N29</f>
        <v>0</v>
      </c>
      <c r="P29" s="5" t="n">
        <f aca="false">B29+O29</f>
        <v>300000</v>
      </c>
      <c r="Q29" s="7" t="str">
        <f aca="false">IF(K29&gt;=(B29*1.6),"YES","NO")</f>
        <v>NO</v>
      </c>
      <c r="R29" s="7" t="str">
        <f aca="false">IF(L29&lt;0.8,"Below Target",IF(L29&lt;1,"At Target",IF(L29&lt;1.3,"Above Target","Excellent")))</f>
        <v>Below Target</v>
      </c>
    </row>
    <row r="30" customFormat="false" ht="15" hidden="false" customHeight="true" outlineLevel="0" collapsed="false">
      <c r="A30" s="1" t="s">
        <v>162</v>
      </c>
      <c r="B30" s="4" t="n">
        <v>28200</v>
      </c>
      <c r="C30" s="4" t="n">
        <f aca="false">B30*2</f>
        <v>56400</v>
      </c>
      <c r="E30" s="14"/>
      <c r="F30" s="14"/>
      <c r="G30" s="14"/>
      <c r="H30" s="14"/>
      <c r="I30" s="14"/>
      <c r="J30" s="14"/>
      <c r="K30" s="5" t="n">
        <f aca="false">E30*1.25+F30+G30*0.5+H30*0.5+I30+J30</f>
        <v>0</v>
      </c>
      <c r="L30" s="15" t="n">
        <f aca="false">IF(C30=0,0,K30/C30)</f>
        <v>0</v>
      </c>
      <c r="M30" s="7" t="str">
        <f aca="false">IF(L30&lt;0.8,"No Incentive",IF(L30&lt;1,"Base",IF(L30&lt;1.11,"Standard",IF(L30&lt;1.31,"Enhanced",IF(L30&lt;1.51,"Super","Champion")))))</f>
        <v>No Incentive</v>
      </c>
      <c r="N30" s="16" t="n">
        <f aca="false">IF(L30&lt;0.8,0,IF(L30&lt;1,0.04,IF(L30&lt;1.11,0.04,IF(L30&lt;1.31,0.046,IF(L30&lt;1.51,0.05,0.06)))))</f>
        <v>0</v>
      </c>
      <c r="O30" s="5" t="n">
        <f aca="false">K30*N30</f>
        <v>0</v>
      </c>
      <c r="P30" s="5" t="n">
        <f aca="false">B30+O30</f>
        <v>28200</v>
      </c>
      <c r="Q30" s="7" t="str">
        <f aca="false">IF(K30&gt;=(B30*1.6),"YES","NO")</f>
        <v>NO</v>
      </c>
      <c r="R30" s="7" t="str">
        <f aca="false">IF(L30&lt;0.8,"Below Target",IF(L30&lt;1,"At Target",IF(L30&lt;1.3,"Above Target","Excellent")))</f>
        <v>Below Target</v>
      </c>
    </row>
    <row r="31" customFormat="false" ht="15" hidden="false" customHeight="true" outlineLevel="0" collapsed="false">
      <c r="A31" s="1" t="s">
        <v>164</v>
      </c>
      <c r="B31" s="4" t="n">
        <v>20427</v>
      </c>
      <c r="C31" s="4" t="n">
        <f aca="false">B31*2</f>
        <v>40854</v>
      </c>
      <c r="E31" s="14"/>
      <c r="F31" s="14"/>
      <c r="G31" s="14"/>
      <c r="H31" s="14"/>
      <c r="I31" s="14"/>
      <c r="J31" s="14"/>
      <c r="K31" s="5" t="n">
        <f aca="false">E31*1.25+F31+G31*0.5+H31*0.5+I31+J31</f>
        <v>0</v>
      </c>
      <c r="L31" s="15" t="n">
        <f aca="false">IF(C31=0,0,K31/C31)</f>
        <v>0</v>
      </c>
      <c r="M31" s="7" t="str">
        <f aca="false">IF(L31&lt;0.8,"No Incentive",IF(L31&lt;1,"Base",IF(L31&lt;1.11,"Standard",IF(L31&lt;1.31,"Enhanced",IF(L31&lt;1.51,"Super","Champion")))))</f>
        <v>No Incentive</v>
      </c>
      <c r="N31" s="16" t="n">
        <f aca="false">IF(L31&lt;0.8,0,IF(L31&lt;1,0.04,IF(L31&lt;1.11,0.04,IF(L31&lt;1.31,0.046,IF(L31&lt;1.51,0.05,0.06)))))</f>
        <v>0</v>
      </c>
      <c r="O31" s="5" t="n">
        <f aca="false">K31*N31</f>
        <v>0</v>
      </c>
      <c r="P31" s="5" t="n">
        <f aca="false">B31+O31</f>
        <v>20427</v>
      </c>
      <c r="Q31" s="7" t="str">
        <f aca="false">IF(K31&gt;=(B31*1.6),"YES","NO")</f>
        <v>NO</v>
      </c>
      <c r="R31" s="7" t="str">
        <f aca="false">IF(L31&lt;0.8,"Below Target",IF(L31&lt;1,"At Target",IF(L31&lt;1.3,"Above Target","Excellent")))</f>
        <v>Below Target</v>
      </c>
    </row>
    <row r="32" customFormat="false" ht="15" hidden="false" customHeight="true" outlineLevel="0" collapsed="false">
      <c r="A32" s="1" t="s">
        <v>166</v>
      </c>
      <c r="B32" s="4" t="n">
        <v>52009</v>
      </c>
      <c r="C32" s="4" t="n">
        <f aca="false">B32*2</f>
        <v>104018</v>
      </c>
      <c r="E32" s="14"/>
      <c r="F32" s="14"/>
      <c r="G32" s="14"/>
      <c r="H32" s="14"/>
      <c r="I32" s="14"/>
      <c r="J32" s="14"/>
      <c r="K32" s="5" t="n">
        <f aca="false">E32*1.25+F32+G32*0.5+H32*0.5+I32+J32</f>
        <v>0</v>
      </c>
      <c r="L32" s="15" t="n">
        <f aca="false">IF(C32=0,0,K32/C32)</f>
        <v>0</v>
      </c>
      <c r="M32" s="7" t="str">
        <f aca="false">IF(L32&lt;0.8,"No Incentive",IF(L32&lt;1,"Base",IF(L32&lt;1.11,"Standard",IF(L32&lt;1.31,"Enhanced",IF(L32&lt;1.51,"Super","Champion")))))</f>
        <v>No Incentive</v>
      </c>
      <c r="N32" s="16" t="n">
        <f aca="false">IF(L32&lt;0.8,0,IF(L32&lt;1,0.04,IF(L32&lt;1.11,0.04,IF(L32&lt;1.31,0.046,IF(L32&lt;1.51,0.05,0.06)))))</f>
        <v>0</v>
      </c>
      <c r="O32" s="5" t="n">
        <f aca="false">K32*N32</f>
        <v>0</v>
      </c>
      <c r="P32" s="5" t="n">
        <f aca="false">B32+O32</f>
        <v>52009</v>
      </c>
      <c r="Q32" s="7" t="str">
        <f aca="false">IF(K32&gt;=(B32*1.6),"YES","NO")</f>
        <v>NO</v>
      </c>
      <c r="R32" s="7" t="str">
        <f aca="false">IF(L32&lt;0.8,"Below Target",IF(L32&lt;1,"At Target",IF(L32&lt;1.3,"Above Target","Excellent")))</f>
        <v>Below Target</v>
      </c>
    </row>
    <row r="33" customFormat="false" ht="15" hidden="false" customHeight="true" outlineLevel="0" collapsed="false">
      <c r="A33" s="1" t="s">
        <v>168</v>
      </c>
      <c r="B33" s="4" t="n">
        <v>67008</v>
      </c>
      <c r="C33" s="4" t="n">
        <f aca="false">B33*2</f>
        <v>134016</v>
      </c>
      <c r="E33" s="14"/>
      <c r="F33" s="14"/>
      <c r="G33" s="14"/>
      <c r="H33" s="14"/>
      <c r="I33" s="14"/>
      <c r="J33" s="14"/>
      <c r="K33" s="5" t="n">
        <f aca="false">E33*1.25+F33+G33*0.5+H33*0.5+I33+J33</f>
        <v>0</v>
      </c>
      <c r="L33" s="15" t="n">
        <f aca="false">IF(C33=0,0,K33/C33)</f>
        <v>0</v>
      </c>
      <c r="M33" s="7" t="str">
        <f aca="false">IF(L33&lt;0.8,"No Incentive",IF(L33&lt;1,"Base",IF(L33&lt;1.11,"Standard",IF(L33&lt;1.31,"Enhanced",IF(L33&lt;1.51,"Super","Champion")))))</f>
        <v>No Incentive</v>
      </c>
      <c r="N33" s="16" t="n">
        <f aca="false">IF(L33&lt;0.8,0,IF(L33&lt;1,0.04,IF(L33&lt;1.11,0.04,IF(L33&lt;1.31,0.046,IF(L33&lt;1.51,0.05,0.06)))))</f>
        <v>0</v>
      </c>
      <c r="O33" s="5" t="n">
        <f aca="false">K33*N33</f>
        <v>0</v>
      </c>
      <c r="P33" s="5" t="n">
        <f aca="false">B33+O33</f>
        <v>67008</v>
      </c>
      <c r="Q33" s="7" t="str">
        <f aca="false">IF(K33&gt;=(B33*1.6),"YES","NO")</f>
        <v>NO</v>
      </c>
      <c r="R33" s="7" t="str">
        <f aca="false">IF(L33&lt;0.8,"Below Target",IF(L33&lt;1,"At Target",IF(L33&lt;1.3,"Above Target","Excellent")))</f>
        <v>Below Target</v>
      </c>
    </row>
    <row r="34" customFormat="false" ht="15" hidden="false" customHeight="true" outlineLevel="0" collapsed="false">
      <c r="A34" s="1" t="s">
        <v>170</v>
      </c>
      <c r="B34" s="4" t="n">
        <v>23980</v>
      </c>
      <c r="C34" s="4" t="n">
        <f aca="false">B34*2</f>
        <v>47960</v>
      </c>
      <c r="E34" s="14"/>
      <c r="F34" s="14"/>
      <c r="G34" s="14"/>
      <c r="H34" s="14"/>
      <c r="I34" s="14"/>
      <c r="J34" s="14"/>
      <c r="K34" s="5" t="n">
        <f aca="false">E34*1.25+F34+G34*0.5+H34*0.5+I34+J34</f>
        <v>0</v>
      </c>
      <c r="L34" s="15" t="n">
        <f aca="false">IF(C34=0,0,K34/C34)</f>
        <v>0</v>
      </c>
      <c r="M34" s="7" t="str">
        <f aca="false">IF(L34&lt;0.8,"No Incentive",IF(L34&lt;1,"Base",IF(L34&lt;1.11,"Standard",IF(L34&lt;1.31,"Enhanced",IF(L34&lt;1.51,"Super","Champion")))))</f>
        <v>No Incentive</v>
      </c>
      <c r="N34" s="16" t="n">
        <f aca="false">IF(L34&lt;0.8,0,IF(L34&lt;1,0.04,IF(L34&lt;1.11,0.04,IF(L34&lt;1.31,0.046,IF(L34&lt;1.51,0.05,0.06)))))</f>
        <v>0</v>
      </c>
      <c r="O34" s="5" t="n">
        <f aca="false">K34*N34</f>
        <v>0</v>
      </c>
      <c r="P34" s="5" t="n">
        <f aca="false">B34+O34</f>
        <v>23980</v>
      </c>
      <c r="Q34" s="7" t="str">
        <f aca="false">IF(K34&gt;=(B34*1.6),"YES","NO")</f>
        <v>NO</v>
      </c>
      <c r="R34" s="7" t="str">
        <f aca="false">IF(L34&lt;0.8,"Below Target",IF(L34&lt;1,"At Target",IF(L34&lt;1.3,"Above Target","Excellent")))</f>
        <v>Below Target</v>
      </c>
    </row>
    <row r="35" customFormat="false" ht="15" hidden="false" customHeight="true" outlineLevel="0" collapsed="false">
      <c r="A35" s="1" t="s">
        <v>172</v>
      </c>
      <c r="B35" s="4" t="n">
        <v>67008</v>
      </c>
      <c r="C35" s="4" t="n">
        <f aca="false">B35*2</f>
        <v>134016</v>
      </c>
      <c r="E35" s="14"/>
      <c r="F35" s="14"/>
      <c r="G35" s="14"/>
      <c r="H35" s="14"/>
      <c r="I35" s="14"/>
      <c r="J35" s="14"/>
      <c r="K35" s="5" t="n">
        <f aca="false">E35*1.25+F35+G35*0.5+H35*0.5+I35+J35</f>
        <v>0</v>
      </c>
      <c r="L35" s="15" t="n">
        <f aca="false">IF(C35=0,0,K35/C35)</f>
        <v>0</v>
      </c>
      <c r="M35" s="7" t="str">
        <f aca="false">IF(L35&lt;0.8,"No Incentive",IF(L35&lt;1,"Base",IF(L35&lt;1.11,"Standard",IF(L35&lt;1.31,"Enhanced",IF(L35&lt;1.51,"Super","Champion")))))</f>
        <v>No Incentive</v>
      </c>
      <c r="N35" s="16" t="n">
        <f aca="false">IF(L35&lt;0.8,0,IF(L35&lt;1,0.04,IF(L35&lt;1.11,0.04,IF(L35&lt;1.31,0.046,IF(L35&lt;1.51,0.05,0.06)))))</f>
        <v>0</v>
      </c>
      <c r="O35" s="5" t="n">
        <f aca="false">K35*N35</f>
        <v>0</v>
      </c>
      <c r="P35" s="5" t="n">
        <f aca="false">B35+O35</f>
        <v>67008</v>
      </c>
      <c r="Q35" s="7" t="str">
        <f aca="false">IF(K35&gt;=(B35*1.6),"YES","NO")</f>
        <v>NO</v>
      </c>
      <c r="R35" s="7" t="str">
        <f aca="false">IF(L35&lt;0.8,"Below Target",IF(L35&lt;1,"At Target",IF(L35&lt;1.3,"Above Target","Excellent")))</f>
        <v>Below Target</v>
      </c>
    </row>
    <row r="36" customFormat="false" ht="15" hidden="false" customHeight="true" outlineLevel="0" collapsed="false">
      <c r="A36" s="1" t="s">
        <v>174</v>
      </c>
      <c r="B36" s="4" t="n">
        <v>67008</v>
      </c>
      <c r="C36" s="4" t="n">
        <f aca="false">B36*2</f>
        <v>134016</v>
      </c>
      <c r="E36" s="14"/>
      <c r="F36" s="14"/>
      <c r="G36" s="14"/>
      <c r="H36" s="14"/>
      <c r="I36" s="14"/>
      <c r="J36" s="14"/>
      <c r="K36" s="5" t="n">
        <f aca="false">E36*1.25+F36+G36*0.5+H36*0.5+I36+J36</f>
        <v>0</v>
      </c>
      <c r="L36" s="15" t="n">
        <f aca="false">IF(C36=0,0,K36/C36)</f>
        <v>0</v>
      </c>
      <c r="M36" s="7" t="str">
        <f aca="false">IF(L36&lt;0.8,"No Incentive",IF(L36&lt;1,"Base",IF(L36&lt;1.11,"Standard",IF(L36&lt;1.31,"Enhanced",IF(L36&lt;1.51,"Super","Champion")))))</f>
        <v>No Incentive</v>
      </c>
      <c r="N36" s="16" t="n">
        <f aca="false">IF(L36&lt;0.8,0,IF(L36&lt;1,0.04,IF(L36&lt;1.11,0.04,IF(L36&lt;1.31,0.046,IF(L36&lt;1.51,0.05,0.06)))))</f>
        <v>0</v>
      </c>
      <c r="O36" s="5" t="n">
        <f aca="false">K36*N36</f>
        <v>0</v>
      </c>
      <c r="P36" s="5" t="n">
        <f aca="false">B36+O36</f>
        <v>67008</v>
      </c>
      <c r="Q36" s="7" t="str">
        <f aca="false">IF(K36&gt;=(B36*1.6),"YES","NO")</f>
        <v>NO</v>
      </c>
      <c r="R36" s="7" t="str">
        <f aca="false">IF(L36&lt;0.8,"Below Target",IF(L36&lt;1,"At Target",IF(L36&lt;1.3,"Above Target","Excellent")))</f>
        <v>Below Target</v>
      </c>
    </row>
    <row r="37" customFormat="false" ht="15" hidden="false" customHeight="true" outlineLevel="0" collapsed="false">
      <c r="A37" s="1" t="s">
        <v>176</v>
      </c>
      <c r="B37" s="4" t="n">
        <v>22429</v>
      </c>
      <c r="C37" s="4" t="n">
        <f aca="false">B37*2</f>
        <v>44858</v>
      </c>
      <c r="E37" s="14"/>
      <c r="F37" s="14"/>
      <c r="G37" s="14"/>
      <c r="H37" s="14"/>
      <c r="I37" s="14"/>
      <c r="J37" s="14"/>
      <c r="K37" s="5" t="n">
        <f aca="false">E37*1.25+F37+G37*0.5+H37*0.5+I37+J37</f>
        <v>0</v>
      </c>
      <c r="L37" s="15" t="n">
        <f aca="false">IF(C37=0,0,K37/C37)</f>
        <v>0</v>
      </c>
      <c r="M37" s="7" t="str">
        <f aca="false">IF(L37&lt;0.8,"No Incentive",IF(L37&lt;1,"Base",IF(L37&lt;1.11,"Standard",IF(L37&lt;1.31,"Enhanced",IF(L37&lt;1.51,"Super","Champion")))))</f>
        <v>No Incentive</v>
      </c>
      <c r="N37" s="16" t="n">
        <f aca="false">IF(L37&lt;0.8,0,IF(L37&lt;1,0.04,IF(L37&lt;1.11,0.04,IF(L37&lt;1.31,0.046,IF(L37&lt;1.51,0.05,0.06)))))</f>
        <v>0</v>
      </c>
      <c r="O37" s="5" t="n">
        <f aca="false">K37*N37</f>
        <v>0</v>
      </c>
      <c r="P37" s="5" t="n">
        <f aca="false">B37+O37</f>
        <v>22429</v>
      </c>
      <c r="Q37" s="7" t="str">
        <f aca="false">IF(K37&gt;=(B37*1.6),"YES","NO")</f>
        <v>NO</v>
      </c>
      <c r="R37" s="7" t="str">
        <f aca="false">IF(L37&lt;0.8,"Below Target",IF(L37&lt;1,"At Target",IF(L37&lt;1.3,"Above Target","Excellent")))</f>
        <v>Below Target</v>
      </c>
    </row>
    <row r="38" customFormat="false" ht="15" hidden="false" customHeight="true" outlineLevel="0" collapsed="false">
      <c r="A38" s="1" t="s">
        <v>178</v>
      </c>
      <c r="B38" s="4" t="n">
        <v>41008</v>
      </c>
      <c r="C38" s="4" t="n">
        <f aca="false">B38*2</f>
        <v>82016</v>
      </c>
      <c r="E38" s="14"/>
      <c r="F38" s="14"/>
      <c r="G38" s="14"/>
      <c r="H38" s="14"/>
      <c r="I38" s="14"/>
      <c r="J38" s="14"/>
      <c r="K38" s="5" t="n">
        <f aca="false">E38*1.25+F38+G38*0.5+H38*0.5+I38+J38</f>
        <v>0</v>
      </c>
      <c r="L38" s="15" t="n">
        <f aca="false">IF(C38=0,0,K38/C38)</f>
        <v>0</v>
      </c>
      <c r="M38" s="7" t="str">
        <f aca="false">IF(L38&lt;0.8,"No Incentive",IF(L38&lt;1,"Base",IF(L38&lt;1.11,"Standard",IF(L38&lt;1.31,"Enhanced",IF(L38&lt;1.51,"Super","Champion")))))</f>
        <v>No Incentive</v>
      </c>
      <c r="N38" s="16" t="n">
        <f aca="false">IF(L38&lt;0.8,0,IF(L38&lt;1,0.04,IF(L38&lt;1.11,0.04,IF(L38&lt;1.31,0.046,IF(L38&lt;1.51,0.05,0.06)))))</f>
        <v>0</v>
      </c>
      <c r="O38" s="5" t="n">
        <f aca="false">K38*N38</f>
        <v>0</v>
      </c>
      <c r="P38" s="5" t="n">
        <f aca="false">B38+O38</f>
        <v>41008</v>
      </c>
      <c r="Q38" s="7" t="str">
        <f aca="false">IF(K38&gt;=(B38*1.6),"YES","NO")</f>
        <v>NO</v>
      </c>
      <c r="R38" s="7" t="str">
        <f aca="false">IF(L38&lt;0.8,"Below Target",IF(L38&lt;1,"At Target",IF(L38&lt;1.3,"Above Target","Excellent")))</f>
        <v>Below Target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&amp;LCONFIDENTIAL - Trustner Group&amp;C&amp;D&amp;RPage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2"/>
    <col collapsed="false" customWidth="true" hidden="false" outlineLevel="0" max="5" min="4" style="1" width="18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10"/>
    <col collapsed="false" customWidth="true" hidden="false" outlineLevel="0" max="10" min="9" style="1" width="15"/>
    <col collapsed="false" customWidth="true" hidden="false" outlineLevel="0" max="11" min="11" style="1" width="10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15"/>
  </cols>
  <sheetData>
    <row r="1" customFormat="false" ht="26.25" hidden="false" customHeight="true" outlineLevel="0" collapsed="false">
      <c r="A1" s="2" t="s">
        <v>226</v>
      </c>
      <c r="B1" s="2" t="s">
        <v>242</v>
      </c>
      <c r="C1" s="2" t="s">
        <v>243</v>
      </c>
      <c r="D1" s="2" t="s">
        <v>244</v>
      </c>
      <c r="E1" s="2" t="s">
        <v>218</v>
      </c>
      <c r="F1" s="2" t="s">
        <v>245</v>
      </c>
      <c r="G1" s="2" t="s">
        <v>246</v>
      </c>
      <c r="H1" s="2" t="s">
        <v>247</v>
      </c>
      <c r="I1" s="2" t="s">
        <v>248</v>
      </c>
      <c r="J1" s="2" t="s">
        <v>249</v>
      </c>
      <c r="K1" s="2" t="s">
        <v>250</v>
      </c>
      <c r="L1" s="2" t="s">
        <v>251</v>
      </c>
      <c r="M1" s="2" t="s">
        <v>252</v>
      </c>
      <c r="N1" s="2" t="s">
        <v>253</v>
      </c>
    </row>
    <row r="2" customFormat="false" ht="15" hidden="false" customHeight="true" outlineLevel="0" collapsed="false">
      <c r="A2" s="1" t="s">
        <v>15</v>
      </c>
      <c r="B2" s="14"/>
      <c r="C2" s="17" t="n">
        <v>0.005</v>
      </c>
      <c r="D2" s="5" t="n">
        <f aca="false">B2*C2</f>
        <v>0</v>
      </c>
      <c r="F2" s="14"/>
      <c r="G2" s="5" t="n">
        <f aca="false">IF(E2="Self-sourced",D2,IF(E2="Assigned + New Business",D2+F2,IF(E2="Assigned + No New Business",D2,D2+F2)))</f>
        <v>0</v>
      </c>
      <c r="H2" s="18" t="n">
        <f aca="false">IFERROR(VLOOKUP(E2,'Incentive Slabs'!$A$25:$D$28,2,0),0)</f>
        <v>0</v>
      </c>
      <c r="I2" s="5" t="n">
        <f aca="false">G2*C2*H2</f>
        <v>0</v>
      </c>
      <c r="J2" s="5" t="n">
        <f aca="false">I2/12</f>
        <v>0</v>
      </c>
      <c r="K2" s="18" t="n">
        <f aca="false">IFERROR(VLOOKUP(E2,'Incentive Slabs'!$A$25:$D$28,3,0),0)</f>
        <v>0</v>
      </c>
      <c r="L2" s="5" t="n">
        <f aca="false">G2*C2*K2</f>
        <v>0</v>
      </c>
      <c r="M2" s="18" t="n">
        <f aca="false">IFERROR(VLOOKUP(E2,'Incentive Slabs'!$A$25:$D$28,4,0),0)</f>
        <v>0</v>
      </c>
      <c r="N2" s="5" t="n">
        <f aca="false">G2*C2*M2</f>
        <v>0</v>
      </c>
    </row>
    <row r="3" customFormat="false" ht="15" hidden="false" customHeight="true" outlineLevel="0" collapsed="false">
      <c r="A3" s="1" t="s">
        <v>25</v>
      </c>
      <c r="B3" s="14"/>
      <c r="C3" s="17" t="n">
        <v>0.005</v>
      </c>
      <c r="D3" s="5" t="n">
        <f aca="false">B3*C3</f>
        <v>0</v>
      </c>
      <c r="F3" s="14"/>
      <c r="G3" s="5" t="n">
        <f aca="false">IF(E3="Self-sourced",D3,IF(E3="Assigned + New Business",D3+F3,IF(E3="Assigned + No New Business",D3,D3+F3)))</f>
        <v>0</v>
      </c>
      <c r="H3" s="18" t="n">
        <f aca="false">IFERROR(VLOOKUP(E3,'Incentive Slabs'!$A$25:$D$28,2,0),0)</f>
        <v>0</v>
      </c>
      <c r="I3" s="5" t="n">
        <f aca="false">G3*C3*H3</f>
        <v>0</v>
      </c>
      <c r="J3" s="5" t="n">
        <f aca="false">I3/12</f>
        <v>0</v>
      </c>
      <c r="K3" s="18" t="n">
        <f aca="false">IFERROR(VLOOKUP(E3,'Incentive Slabs'!$A$25:$D$28,3,0),0)</f>
        <v>0</v>
      </c>
      <c r="L3" s="5" t="n">
        <f aca="false">G3*C3*K3</f>
        <v>0</v>
      </c>
      <c r="M3" s="18" t="n">
        <f aca="false">IFERROR(VLOOKUP(E3,'Incentive Slabs'!$A$25:$D$28,4,0),0)</f>
        <v>0</v>
      </c>
      <c r="N3" s="5" t="n">
        <f aca="false">G3*C3*M3</f>
        <v>0</v>
      </c>
    </row>
    <row r="4" customFormat="false" ht="15" hidden="false" customHeight="true" outlineLevel="0" collapsed="false">
      <c r="A4" s="1" t="s">
        <v>30</v>
      </c>
      <c r="B4" s="14"/>
      <c r="C4" s="17" t="n">
        <v>0.005</v>
      </c>
      <c r="D4" s="5" t="n">
        <f aca="false">B4*C4</f>
        <v>0</v>
      </c>
      <c r="F4" s="14"/>
      <c r="G4" s="5" t="n">
        <f aca="false">IF(E4="Self-sourced",D4,IF(E4="Assigned + New Business",D4+F4,IF(E4="Assigned + No New Business",D4,D4+F4)))</f>
        <v>0</v>
      </c>
      <c r="H4" s="18" t="n">
        <f aca="false">IFERROR(VLOOKUP(E4,'Incentive Slabs'!$A$25:$D$28,2,0),0)</f>
        <v>0</v>
      </c>
      <c r="I4" s="5" t="n">
        <f aca="false">G4*C4*H4</f>
        <v>0</v>
      </c>
      <c r="J4" s="5" t="n">
        <f aca="false">I4/12</f>
        <v>0</v>
      </c>
      <c r="K4" s="18" t="n">
        <f aca="false">IFERROR(VLOOKUP(E4,'Incentive Slabs'!$A$25:$D$28,3,0),0)</f>
        <v>0</v>
      </c>
      <c r="L4" s="5" t="n">
        <f aca="false">G4*C4*K4</f>
        <v>0</v>
      </c>
      <c r="M4" s="18" t="n">
        <f aca="false">IFERROR(VLOOKUP(E4,'Incentive Slabs'!$A$25:$D$28,4,0),0)</f>
        <v>0</v>
      </c>
      <c r="N4" s="5" t="n">
        <f aca="false">G4*C4*M4</f>
        <v>0</v>
      </c>
    </row>
    <row r="5" customFormat="false" ht="15" hidden="false" customHeight="true" outlineLevel="0" collapsed="false">
      <c r="A5" s="1" t="s">
        <v>38</v>
      </c>
      <c r="B5" s="14"/>
      <c r="C5" s="17" t="n">
        <v>0.005</v>
      </c>
      <c r="D5" s="5" t="n">
        <f aca="false">B5*C5</f>
        <v>0</v>
      </c>
      <c r="F5" s="14"/>
      <c r="G5" s="5" t="n">
        <f aca="false">IF(E5="Self-sourced",D5,IF(E5="Assigned + New Business",D5+F5,IF(E5="Assigned + No New Business",D5,D5+F5)))</f>
        <v>0</v>
      </c>
      <c r="H5" s="18" t="n">
        <f aca="false">IFERROR(VLOOKUP(E5,'Incentive Slabs'!$A$25:$D$28,2,0),0)</f>
        <v>0</v>
      </c>
      <c r="I5" s="5" t="n">
        <f aca="false">G5*C5*H5</f>
        <v>0</v>
      </c>
      <c r="J5" s="5" t="n">
        <f aca="false">I5/12</f>
        <v>0</v>
      </c>
      <c r="K5" s="18" t="n">
        <f aca="false">IFERROR(VLOOKUP(E5,'Incentive Slabs'!$A$25:$D$28,3,0),0)</f>
        <v>0</v>
      </c>
      <c r="L5" s="5" t="n">
        <f aca="false">G5*C5*K5</f>
        <v>0</v>
      </c>
      <c r="M5" s="18" t="n">
        <f aca="false">IFERROR(VLOOKUP(E5,'Incentive Slabs'!$A$25:$D$28,4,0),0)</f>
        <v>0</v>
      </c>
      <c r="N5" s="5" t="n">
        <f aca="false">G5*C5*M5</f>
        <v>0</v>
      </c>
    </row>
    <row r="6" customFormat="false" ht="15" hidden="false" customHeight="true" outlineLevel="0" collapsed="false">
      <c r="A6" s="1" t="s">
        <v>41</v>
      </c>
      <c r="B6" s="14"/>
      <c r="C6" s="17" t="n">
        <v>0.005</v>
      </c>
      <c r="D6" s="5" t="n">
        <f aca="false">B6*C6</f>
        <v>0</v>
      </c>
      <c r="F6" s="14"/>
      <c r="G6" s="5" t="n">
        <f aca="false">IF(E6="Self-sourced",D6,IF(E6="Assigned + New Business",D6+F6,IF(E6="Assigned + No New Business",D6,D6+F6)))</f>
        <v>0</v>
      </c>
      <c r="H6" s="18" t="n">
        <f aca="false">IFERROR(VLOOKUP(E6,'Incentive Slabs'!$A$25:$D$28,2,0),0)</f>
        <v>0</v>
      </c>
      <c r="I6" s="5" t="n">
        <f aca="false">G6*C6*H6</f>
        <v>0</v>
      </c>
      <c r="J6" s="5" t="n">
        <f aca="false">I6/12</f>
        <v>0</v>
      </c>
      <c r="K6" s="18" t="n">
        <f aca="false">IFERROR(VLOOKUP(E6,'Incentive Slabs'!$A$25:$D$28,3,0),0)</f>
        <v>0</v>
      </c>
      <c r="L6" s="5" t="n">
        <f aca="false">G6*C6*K6</f>
        <v>0</v>
      </c>
      <c r="M6" s="18" t="n">
        <f aca="false">IFERROR(VLOOKUP(E6,'Incentive Slabs'!$A$25:$D$28,4,0),0)</f>
        <v>0</v>
      </c>
      <c r="N6" s="5" t="n">
        <f aca="false">G6*C6*M6</f>
        <v>0</v>
      </c>
    </row>
    <row r="7" customFormat="false" ht="15" hidden="false" customHeight="true" outlineLevel="0" collapsed="false">
      <c r="A7" s="1" t="s">
        <v>47</v>
      </c>
      <c r="B7" s="14"/>
      <c r="C7" s="17" t="n">
        <v>0.005</v>
      </c>
      <c r="D7" s="5" t="n">
        <f aca="false">B7*C7</f>
        <v>0</v>
      </c>
      <c r="F7" s="14"/>
      <c r="G7" s="5" t="n">
        <f aca="false">IF(E7="Self-sourced",D7,IF(E7="Assigned + New Business",D7+F7,IF(E7="Assigned + No New Business",D7,D7+F7)))</f>
        <v>0</v>
      </c>
      <c r="H7" s="18" t="n">
        <f aca="false">IFERROR(VLOOKUP(E7,'Incentive Slabs'!$A$25:$D$28,2,0),0)</f>
        <v>0</v>
      </c>
      <c r="I7" s="5" t="n">
        <f aca="false">G7*C7*H7</f>
        <v>0</v>
      </c>
      <c r="J7" s="5" t="n">
        <f aca="false">I7/12</f>
        <v>0</v>
      </c>
      <c r="K7" s="18" t="n">
        <f aca="false">IFERROR(VLOOKUP(E7,'Incentive Slabs'!$A$25:$D$28,3,0),0)</f>
        <v>0</v>
      </c>
      <c r="L7" s="5" t="n">
        <f aca="false">G7*C7*K7</f>
        <v>0</v>
      </c>
      <c r="M7" s="18" t="n">
        <f aca="false">IFERROR(VLOOKUP(E7,'Incentive Slabs'!$A$25:$D$28,4,0),0)</f>
        <v>0</v>
      </c>
      <c r="N7" s="5" t="n">
        <f aca="false">G7*C7*M7</f>
        <v>0</v>
      </c>
    </row>
    <row r="8" customFormat="false" ht="15" hidden="false" customHeight="true" outlineLevel="0" collapsed="false">
      <c r="A8" s="1" t="s">
        <v>61</v>
      </c>
      <c r="B8" s="14"/>
      <c r="C8" s="17" t="n">
        <v>0.005</v>
      </c>
      <c r="D8" s="5" t="n">
        <f aca="false">B8*C8</f>
        <v>0</v>
      </c>
      <c r="F8" s="14"/>
      <c r="G8" s="5" t="n">
        <f aca="false">IF(E8="Self-sourced",D8,IF(E8="Assigned + New Business",D8+F8,IF(E8="Assigned + No New Business",D8,D8+F8)))</f>
        <v>0</v>
      </c>
      <c r="H8" s="18" t="n">
        <f aca="false">IFERROR(VLOOKUP(E8,'Incentive Slabs'!$A$25:$D$28,2,0),0)</f>
        <v>0</v>
      </c>
      <c r="I8" s="5" t="n">
        <f aca="false">G8*C8*H8</f>
        <v>0</v>
      </c>
      <c r="J8" s="5" t="n">
        <f aca="false">I8/12</f>
        <v>0</v>
      </c>
      <c r="K8" s="18" t="n">
        <f aca="false">IFERROR(VLOOKUP(E8,'Incentive Slabs'!$A$25:$D$28,3,0),0)</f>
        <v>0</v>
      </c>
      <c r="L8" s="5" t="n">
        <f aca="false">G8*C8*K8</f>
        <v>0</v>
      </c>
      <c r="M8" s="18" t="n">
        <f aca="false">IFERROR(VLOOKUP(E8,'Incentive Slabs'!$A$25:$D$28,4,0),0)</f>
        <v>0</v>
      </c>
      <c r="N8" s="5" t="n">
        <f aca="false">G8*C8*M8</f>
        <v>0</v>
      </c>
    </row>
    <row r="9" customFormat="false" ht="15" hidden="false" customHeight="true" outlineLevel="0" collapsed="false">
      <c r="A9" s="1" t="s">
        <v>65</v>
      </c>
      <c r="B9" s="14"/>
      <c r="C9" s="17" t="n">
        <v>0.005</v>
      </c>
      <c r="D9" s="5" t="n">
        <f aca="false">B9*C9</f>
        <v>0</v>
      </c>
      <c r="F9" s="14"/>
      <c r="G9" s="5" t="n">
        <f aca="false">IF(E9="Self-sourced",D9,IF(E9="Assigned + New Business",D9+F9,IF(E9="Assigned + No New Business",D9,D9+F9)))</f>
        <v>0</v>
      </c>
      <c r="H9" s="18" t="n">
        <f aca="false">IFERROR(VLOOKUP(E9,'Incentive Slabs'!$A$25:$D$28,2,0),0)</f>
        <v>0</v>
      </c>
      <c r="I9" s="5" t="n">
        <f aca="false">G9*C9*H9</f>
        <v>0</v>
      </c>
      <c r="J9" s="5" t="n">
        <f aca="false">I9/12</f>
        <v>0</v>
      </c>
      <c r="K9" s="18" t="n">
        <f aca="false">IFERROR(VLOOKUP(E9,'Incentive Slabs'!$A$25:$D$28,3,0),0)</f>
        <v>0</v>
      </c>
      <c r="L9" s="5" t="n">
        <f aca="false">G9*C9*K9</f>
        <v>0</v>
      </c>
      <c r="M9" s="18" t="n">
        <f aca="false">IFERROR(VLOOKUP(E9,'Incentive Slabs'!$A$25:$D$28,4,0),0)</f>
        <v>0</v>
      </c>
      <c r="N9" s="5" t="n">
        <f aca="false">G9*C9*M9</f>
        <v>0</v>
      </c>
    </row>
    <row r="10" customFormat="false" ht="15" hidden="false" customHeight="true" outlineLevel="0" collapsed="false">
      <c r="A10" s="1" t="s">
        <v>74</v>
      </c>
      <c r="B10" s="14"/>
      <c r="C10" s="17" t="n">
        <v>0.005</v>
      </c>
      <c r="D10" s="5" t="n">
        <f aca="false">B10*C10</f>
        <v>0</v>
      </c>
      <c r="F10" s="14"/>
      <c r="G10" s="5" t="n">
        <f aca="false">IF(E10="Self-sourced",D10,IF(E10="Assigned + New Business",D10+F10,IF(E10="Assigned + No New Business",D10,D10+F10)))</f>
        <v>0</v>
      </c>
      <c r="H10" s="18" t="n">
        <f aca="false">IFERROR(VLOOKUP(E10,'Incentive Slabs'!$A$25:$D$28,2,0),0)</f>
        <v>0</v>
      </c>
      <c r="I10" s="5" t="n">
        <f aca="false">G10*C10*H10</f>
        <v>0</v>
      </c>
      <c r="J10" s="5" t="n">
        <f aca="false">I10/12</f>
        <v>0</v>
      </c>
      <c r="K10" s="18" t="n">
        <f aca="false">IFERROR(VLOOKUP(E10,'Incentive Slabs'!$A$25:$D$28,3,0),0)</f>
        <v>0</v>
      </c>
      <c r="L10" s="5" t="n">
        <f aca="false">G10*C10*K10</f>
        <v>0</v>
      </c>
      <c r="M10" s="18" t="n">
        <f aca="false">IFERROR(VLOOKUP(E10,'Incentive Slabs'!$A$25:$D$28,4,0),0)</f>
        <v>0</v>
      </c>
      <c r="N10" s="5" t="n">
        <f aca="false">G10*C10*M10</f>
        <v>0</v>
      </c>
    </row>
    <row r="11" customFormat="false" ht="15" hidden="false" customHeight="true" outlineLevel="0" collapsed="false">
      <c r="A11" s="1" t="s">
        <v>78</v>
      </c>
      <c r="B11" s="14"/>
      <c r="C11" s="17" t="n">
        <v>0.005</v>
      </c>
      <c r="D11" s="5" t="n">
        <f aca="false">B11*C11</f>
        <v>0</v>
      </c>
      <c r="F11" s="14"/>
      <c r="G11" s="5" t="n">
        <f aca="false">IF(E11="Self-sourced",D11,IF(E11="Assigned + New Business",D11+F11,IF(E11="Assigned + No New Business",D11,D11+F11)))</f>
        <v>0</v>
      </c>
      <c r="H11" s="18" t="n">
        <f aca="false">IFERROR(VLOOKUP(E11,'Incentive Slabs'!$A$25:$D$28,2,0),0)</f>
        <v>0</v>
      </c>
      <c r="I11" s="5" t="n">
        <f aca="false">G11*C11*H11</f>
        <v>0</v>
      </c>
      <c r="J11" s="5" t="n">
        <f aca="false">I11/12</f>
        <v>0</v>
      </c>
      <c r="K11" s="18" t="n">
        <f aca="false">IFERROR(VLOOKUP(E11,'Incentive Slabs'!$A$25:$D$28,3,0),0)</f>
        <v>0</v>
      </c>
      <c r="L11" s="5" t="n">
        <f aca="false">G11*C11*K11</f>
        <v>0</v>
      </c>
      <c r="M11" s="18" t="n">
        <f aca="false">IFERROR(VLOOKUP(E11,'Incentive Slabs'!$A$25:$D$28,4,0),0)</f>
        <v>0</v>
      </c>
      <c r="N11" s="5" t="n">
        <f aca="false">G11*C11*M11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&amp;LCONFIDENTIAL - Trustner Group&amp;C&amp;D&amp;RPage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5"/>
    <col collapsed="false" customWidth="true" hidden="false" outlineLevel="0" max="4" min="4" style="1" width="12"/>
    <col collapsed="false" customWidth="true" hidden="false" outlineLevel="0" max="6" min="5" style="1" width="15"/>
    <col collapsed="false" customWidth="true" hidden="false" outlineLevel="0" max="8" min="7" style="1" width="12"/>
    <col collapsed="false" customWidth="true" hidden="false" outlineLevel="0" max="13" min="9" style="1" width="15"/>
  </cols>
  <sheetData>
    <row r="1" customFormat="false" ht="39" hidden="false" customHeight="true" outlineLevel="0" collapsed="false">
      <c r="A1" s="2" t="s">
        <v>254</v>
      </c>
      <c r="B1" s="2" t="s">
        <v>255</v>
      </c>
      <c r="C1" s="2" t="s">
        <v>256</v>
      </c>
      <c r="D1" s="2" t="s">
        <v>257</v>
      </c>
      <c r="E1" s="2" t="s">
        <v>258</v>
      </c>
      <c r="F1" s="2" t="s">
        <v>259</v>
      </c>
      <c r="G1" s="2" t="s">
        <v>260</v>
      </c>
      <c r="H1" s="2" t="s">
        <v>261</v>
      </c>
      <c r="I1" s="2" t="s">
        <v>262</v>
      </c>
      <c r="J1" s="2" t="s">
        <v>263</v>
      </c>
      <c r="K1" s="2" t="s">
        <v>264</v>
      </c>
      <c r="L1" s="2" t="s">
        <v>265</v>
      </c>
      <c r="M1" s="2" t="s">
        <v>266</v>
      </c>
    </row>
    <row r="2" customFormat="false" ht="15" hidden="false" customHeight="true" outlineLevel="0" collapsed="false">
      <c r="A2" s="1" t="s">
        <v>267</v>
      </c>
      <c r="B2" s="14"/>
      <c r="C2" s="5" t="n">
        <f aca="false">SUMIFS('Employee Master'!$G$2:$G$100,'Employee Master'!$E$2:$E$100,A2,'Employee Master'!$F$2:$F$100,"SALES")</f>
        <v>0</v>
      </c>
      <c r="D2" s="5" t="n">
        <f aca="false">SUMIF('Employee Master'!$E$2:$E$100,A2,'Employee Master'!$G$2:$G$100)</f>
        <v>0</v>
      </c>
      <c r="E2" s="14"/>
      <c r="F2" s="14"/>
      <c r="G2" s="14"/>
      <c r="H2" s="5" t="n">
        <f aca="false">C2+D2+E2+F2+G2</f>
        <v>0</v>
      </c>
      <c r="I2" s="5" t="n">
        <f aca="false">IF(B2=0,0,B2-H2)</f>
        <v>0</v>
      </c>
      <c r="J2" s="15" t="n">
        <f aca="false">IF(B2=0,0,H2/B2)</f>
        <v>0</v>
      </c>
      <c r="K2" s="19" t="n">
        <v>0.02</v>
      </c>
      <c r="L2" s="5" t="n">
        <f aca="false">IF(I2&gt;0,I2*K2,0)</f>
        <v>0</v>
      </c>
      <c r="M2" s="7" t="str">
        <f aca="false">IF(J2&lt;0.25,"Healthy",IF(J2&lt;0.35,"Warning","Critical"))</f>
        <v>Healthy</v>
      </c>
    </row>
    <row r="3" customFormat="false" ht="15" hidden="false" customHeight="true" outlineLevel="0" collapsed="false">
      <c r="A3" s="1" t="s">
        <v>211</v>
      </c>
      <c r="B3" s="14"/>
      <c r="C3" s="5" t="n">
        <f aca="false">SUMIFS('Employee Master'!$G$2:$G$100,'Employee Master'!$E$2:$E$100,A3,'Employee Master'!$F$2:$F$100,"SALES")</f>
        <v>0</v>
      </c>
      <c r="D3" s="5" t="n">
        <f aca="false">SUMIF('Employee Master'!$E$2:$E$100,A3,'Employee Master'!$G$2:$G$100)</f>
        <v>0</v>
      </c>
      <c r="E3" s="14"/>
      <c r="F3" s="14"/>
      <c r="G3" s="14"/>
      <c r="H3" s="5" t="n">
        <f aca="false">C3+D3+E3+F3+G3</f>
        <v>0</v>
      </c>
      <c r="I3" s="5" t="n">
        <f aca="false">IF(B3=0,0,B3-H3)</f>
        <v>0</v>
      </c>
      <c r="J3" s="15" t="n">
        <f aca="false">IF(B3=0,0,H3/B3)</f>
        <v>0</v>
      </c>
      <c r="K3" s="19" t="n">
        <v>0.02</v>
      </c>
      <c r="L3" s="5" t="n">
        <f aca="false">IF(I3&gt;0,I3*K3,0)</f>
        <v>0</v>
      </c>
      <c r="M3" s="7" t="str">
        <f aca="false">IF(J3&lt;0.25,"Healthy",IF(J3&lt;0.35,"Warning","Critical"))</f>
        <v>Healthy</v>
      </c>
    </row>
    <row r="4" customFormat="false" ht="15" hidden="false" customHeight="true" outlineLevel="0" collapsed="false">
      <c r="A4" s="1" t="s">
        <v>212</v>
      </c>
      <c r="B4" s="14"/>
      <c r="C4" s="5" t="n">
        <f aca="false">SUMIFS('Employee Master'!$G$2:$G$100,'Employee Master'!$E$2:$E$100,A4,'Employee Master'!$F$2:$F$100,"SALES")</f>
        <v>0</v>
      </c>
      <c r="D4" s="5" t="n">
        <f aca="false">SUMIF('Employee Master'!$E$2:$E$100,A4,'Employee Master'!$G$2:$G$100)</f>
        <v>0</v>
      </c>
      <c r="E4" s="14"/>
      <c r="F4" s="14"/>
      <c r="G4" s="14"/>
      <c r="H4" s="5" t="n">
        <f aca="false">C4+D4+E4+F4+G4</f>
        <v>0</v>
      </c>
      <c r="I4" s="5" t="n">
        <f aca="false">IF(B4=0,0,B4-H4)</f>
        <v>0</v>
      </c>
      <c r="J4" s="15" t="n">
        <f aca="false">IF(B4=0,0,H4/B4)</f>
        <v>0</v>
      </c>
      <c r="K4" s="19" t="n">
        <v>0.02</v>
      </c>
      <c r="L4" s="5" t="n">
        <f aca="false">IF(I4&gt;0,I4*K4,0)</f>
        <v>0</v>
      </c>
      <c r="M4" s="7" t="str">
        <f aca="false">IF(J4&lt;0.25,"Healthy",IF(J4&lt;0.35,"Warning","Critical"))</f>
        <v>Healthy</v>
      </c>
    </row>
    <row r="5" customFormat="false" ht="15" hidden="false" customHeight="true" outlineLevel="0" collapsed="false">
      <c r="A5" s="1" t="s">
        <v>268</v>
      </c>
      <c r="B5" s="14"/>
      <c r="C5" s="5" t="n">
        <f aca="false">SUMIFS('Employee Master'!$G$2:$G$100,'Employee Master'!$E$2:$E$100,A5,'Employee Master'!$F$2:$F$100,"SALES")</f>
        <v>0</v>
      </c>
      <c r="D5" s="5" t="n">
        <f aca="false">SUMIF('Employee Master'!$E$2:$E$100,A5,'Employee Master'!$G$2:$G$100)</f>
        <v>0</v>
      </c>
      <c r="E5" s="14"/>
      <c r="F5" s="14"/>
      <c r="G5" s="14"/>
      <c r="H5" s="5" t="n">
        <f aca="false">C5+D5+E5+F5+G5</f>
        <v>0</v>
      </c>
      <c r="I5" s="5" t="n">
        <f aca="false">IF(B5=0,0,B5-H5)</f>
        <v>0</v>
      </c>
      <c r="J5" s="15" t="n">
        <f aca="false">IF(B5=0,0,H5/B5)</f>
        <v>0</v>
      </c>
      <c r="K5" s="19" t="n">
        <v>0.02</v>
      </c>
      <c r="L5" s="5" t="n">
        <f aca="false">IF(I5&gt;0,I5*K5,0)</f>
        <v>0</v>
      </c>
      <c r="M5" s="7" t="str">
        <f aca="false">IF(J5&lt;0.25,"Healthy",IF(J5&lt;0.35,"Warning","Critical"))</f>
        <v>Healthy</v>
      </c>
    </row>
    <row r="6" customFormat="false" ht="15" hidden="false" customHeight="true" outlineLevel="0" collapsed="false">
      <c r="A6" s="1" t="s">
        <v>269</v>
      </c>
      <c r="B6" s="14"/>
      <c r="C6" s="5" t="n">
        <f aca="false">SUMIFS('Employee Master'!$G$2:$G$100,'Employee Master'!$E$2:$E$100,A6,'Employee Master'!$F$2:$F$100,"SALES")</f>
        <v>0</v>
      </c>
      <c r="D6" s="5" t="n">
        <f aca="false">SUMIF('Employee Master'!$E$2:$E$100,A6,'Employee Master'!$G$2:$G$100)</f>
        <v>0</v>
      </c>
      <c r="E6" s="14"/>
      <c r="F6" s="14"/>
      <c r="G6" s="14"/>
      <c r="H6" s="5" t="n">
        <f aca="false">C6+D6+E6+F6+G6</f>
        <v>0</v>
      </c>
      <c r="I6" s="5" t="n">
        <f aca="false">IF(B6=0,0,B6-H6)</f>
        <v>0</v>
      </c>
      <c r="J6" s="15" t="n">
        <f aca="false">IF(B6=0,0,H6/B6)</f>
        <v>0</v>
      </c>
      <c r="K6" s="19" t="n">
        <v>0.02</v>
      </c>
      <c r="L6" s="5" t="n">
        <f aca="false">IF(I6&gt;0,I6*K6,0)</f>
        <v>0</v>
      </c>
      <c r="M6" s="7" t="str">
        <f aca="false">IF(J6&lt;0.25,"Healthy",IF(J6&lt;0.35,"Warning","Critical"))</f>
        <v>Healthy</v>
      </c>
    </row>
    <row r="7" customFormat="false" ht="15" hidden="false" customHeight="true" outlineLevel="0" collapsed="false">
      <c r="A7" s="1" t="s">
        <v>270</v>
      </c>
      <c r="B7" s="14"/>
      <c r="C7" s="5" t="n">
        <f aca="false">SUMIFS('Employee Master'!$G$2:$G$100,'Employee Master'!$E$2:$E$100,A7,'Employee Master'!$F$2:$F$100,"SALES")</f>
        <v>0</v>
      </c>
      <c r="D7" s="5" t="n">
        <f aca="false">SUMIF('Employee Master'!$E$2:$E$100,A7,'Employee Master'!$G$2:$G$100)</f>
        <v>0</v>
      </c>
      <c r="E7" s="14"/>
      <c r="F7" s="14"/>
      <c r="G7" s="14"/>
      <c r="H7" s="5" t="n">
        <f aca="false">C7+D7+E7+F7+G7</f>
        <v>0</v>
      </c>
      <c r="I7" s="5" t="n">
        <f aca="false">IF(B7=0,0,B7-H7)</f>
        <v>0</v>
      </c>
      <c r="J7" s="15" t="n">
        <f aca="false">IF(B7=0,0,H7/B7)</f>
        <v>0</v>
      </c>
      <c r="K7" s="19" t="n">
        <v>0.02</v>
      </c>
      <c r="L7" s="5" t="n">
        <f aca="false">IF(I7&gt;0,I7*K7,0)</f>
        <v>0</v>
      </c>
      <c r="M7" s="7" t="str">
        <f aca="false">IF(J7&lt;0.25,"Healthy",IF(J7&lt;0.35,"Warning","Critical"))</f>
        <v>Healthy</v>
      </c>
    </row>
    <row r="8" customFormat="false" ht="15" hidden="false" customHeight="true" outlineLevel="0" collapsed="false">
      <c r="A8" s="1" t="s">
        <v>271</v>
      </c>
      <c r="B8" s="14"/>
      <c r="C8" s="5" t="n">
        <f aca="false">SUMIFS('Employee Master'!$G$2:$G$100,'Employee Master'!$E$2:$E$100,A8,'Employee Master'!$F$2:$F$100,"SALES")</f>
        <v>0</v>
      </c>
      <c r="D8" s="5" t="n">
        <f aca="false">SUMIF('Employee Master'!$E$2:$E$100,A8,'Employee Master'!$G$2:$G$100)</f>
        <v>0</v>
      </c>
      <c r="E8" s="14"/>
      <c r="F8" s="14"/>
      <c r="G8" s="14"/>
      <c r="H8" s="5" t="n">
        <f aca="false">C8+D8+E8+F8+G8</f>
        <v>0</v>
      </c>
      <c r="I8" s="5" t="n">
        <f aca="false">IF(B8=0,0,B8-H8)</f>
        <v>0</v>
      </c>
      <c r="J8" s="15" t="n">
        <f aca="false">IF(B8=0,0,H8/B8)</f>
        <v>0</v>
      </c>
      <c r="K8" s="19" t="n">
        <v>0.02</v>
      </c>
      <c r="L8" s="5" t="n">
        <f aca="false">IF(I8&gt;0,I8*K8,0)</f>
        <v>0</v>
      </c>
      <c r="M8" s="7" t="str">
        <f aca="false">IF(J8&lt;0.25,"Healthy",IF(J8&lt;0.35,"Warning","Critical"))</f>
        <v>Healthy</v>
      </c>
    </row>
    <row r="9" customFormat="false" ht="15" hidden="false" customHeight="true" outlineLevel="0" collapsed="false">
      <c r="A9" s="1" t="s">
        <v>272</v>
      </c>
      <c r="B9" s="14"/>
      <c r="C9" s="5" t="n">
        <f aca="false">SUMIFS('Employee Master'!$G$2:$G$100,'Employee Master'!$E$2:$E$100,A9,'Employee Master'!$F$2:$F$100,"SALES")</f>
        <v>47486</v>
      </c>
      <c r="D9" s="5" t="n">
        <f aca="false">SUMIF('Employee Master'!$E$2:$E$100,A9,'Employee Master'!$G$2:$G$100)</f>
        <v>47486</v>
      </c>
      <c r="E9" s="14"/>
      <c r="F9" s="14"/>
      <c r="G9" s="14"/>
      <c r="H9" s="5" t="n">
        <f aca="false">C9+D9+E9+F9+G9</f>
        <v>94972</v>
      </c>
      <c r="I9" s="5" t="n">
        <f aca="false">IF(B9=0,0,B9-H9)</f>
        <v>0</v>
      </c>
      <c r="J9" s="15" t="n">
        <f aca="false">IF(B9=0,0,H9/B9)</f>
        <v>0</v>
      </c>
      <c r="K9" s="19" t="n">
        <v>0.02</v>
      </c>
      <c r="L9" s="5" t="n">
        <f aca="false">IF(I9&gt;0,I9*K9,0)</f>
        <v>0</v>
      </c>
      <c r="M9" s="7" t="str">
        <f aca="false">IF(J9&lt;0.25,"Healthy",IF(J9&lt;0.35,"Warning","Critical"))</f>
        <v>Healthy</v>
      </c>
    </row>
    <row r="10" customFormat="false" ht="15" hidden="false" customHeight="true" outlineLevel="0" collapsed="false">
      <c r="A10" s="1" t="s">
        <v>273</v>
      </c>
      <c r="B10" s="14"/>
      <c r="C10" s="5" t="n">
        <f aca="false">SUMIFS('Employee Master'!$G$2:$G$100,'Employee Master'!$E$2:$E$100,A10,'Employee Master'!$F$2:$F$100,"SALES")</f>
        <v>0</v>
      </c>
      <c r="D10" s="5" t="n">
        <f aca="false">SUMIF('Employee Master'!$E$2:$E$100,A10,'Employee Master'!$G$2:$G$100)</f>
        <v>0</v>
      </c>
      <c r="E10" s="14"/>
      <c r="F10" s="14"/>
      <c r="G10" s="14"/>
      <c r="H10" s="5" t="n">
        <f aca="false">C10+D10+E10+F10+G10</f>
        <v>0</v>
      </c>
      <c r="I10" s="5" t="n">
        <f aca="false">IF(B10=0,0,B10-H10)</f>
        <v>0</v>
      </c>
      <c r="J10" s="15" t="n">
        <f aca="false">IF(B10=0,0,H10/B10)</f>
        <v>0</v>
      </c>
      <c r="K10" s="19" t="n">
        <v>0.02</v>
      </c>
      <c r="L10" s="5" t="n">
        <f aca="false">IF(I10&gt;0,I10*K10,0)</f>
        <v>0</v>
      </c>
      <c r="M10" s="7" t="str">
        <f aca="false">IF(J10&lt;0.25,"Healthy",IF(J10&lt;0.35,"Warning","Critical"))</f>
        <v>Healthy</v>
      </c>
    </row>
    <row r="11" customFormat="false" ht="15" hidden="false" customHeight="true" outlineLevel="0" collapsed="false">
      <c r="C11" s="4" t="n">
        <f aca="false">SUMIFS('Employee Master'!$G$2:$G$100,'Employee Master'!$E$2:$E$100,A11,'Employee Master'!$F$2:$F$100,"SALES")</f>
        <v>0</v>
      </c>
      <c r="D11" s="4" t="n">
        <f aca="false">SUMIF('Employee Master'!$E$2:$E$100,A11,'Employee Master'!$G$2:$G$100)</f>
        <v>0</v>
      </c>
      <c r="H11" s="4" t="n">
        <f aca="false">C11+D11+E11+F11+G11</f>
        <v>0</v>
      </c>
      <c r="I11" s="4" t="n">
        <f aca="false">IF(B11=0,0,B11-H11)</f>
        <v>0</v>
      </c>
      <c r="J11" s="20" t="n">
        <f aca="false">IF(B11=0,0,H11/B11)</f>
        <v>0</v>
      </c>
      <c r="L11" s="4" t="n">
        <f aca="false">IF(I11&gt;0,I11*K11,0)</f>
        <v>0</v>
      </c>
      <c r="M11" s="1" t="str">
        <f aca="false">IF(J11&lt;0.25,"Healthy",IF(J11&lt;0.35,"Warning","Critical"))</f>
        <v>Healthy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&amp;LCONFIDENTIAL - Trustner Group&amp;C&amp;D&amp;RPage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6" min="2" style="1" width="15"/>
  </cols>
  <sheetData>
    <row r="1" customFormat="false" ht="26.25" hidden="false" customHeight="true" outlineLevel="0" collapsed="false">
      <c r="A1" s="2" t="s">
        <v>274</v>
      </c>
      <c r="B1" s="2" t="s">
        <v>275</v>
      </c>
      <c r="C1" s="2" t="s">
        <v>276</v>
      </c>
      <c r="D1" s="2" t="s">
        <v>277</v>
      </c>
      <c r="E1" s="2" t="s">
        <v>278</v>
      </c>
      <c r="F1" s="2" t="s">
        <v>279</v>
      </c>
    </row>
    <row r="2" customFormat="false" ht="15" hidden="false" customHeight="true" outlineLevel="0" collapsed="false">
      <c r="A2" s="1" t="s">
        <v>280</v>
      </c>
      <c r="B2" s="21" t="s">
        <v>281</v>
      </c>
    </row>
    <row r="3" customFormat="false" ht="15" hidden="false" customHeight="true" outlineLevel="0" collapsed="false">
      <c r="A3" s="1" t="s">
        <v>282</v>
      </c>
      <c r="B3" s="21" t="n">
        <v>100000</v>
      </c>
      <c r="C3" s="1" t="n">
        <v>80000</v>
      </c>
      <c r="D3" s="1" t="n">
        <v>75000</v>
      </c>
      <c r="E3" s="1" t="n">
        <v>90000</v>
      </c>
      <c r="F3" s="1" t="n">
        <v>110000</v>
      </c>
    </row>
    <row r="4" customFormat="false" ht="15" hidden="false" customHeight="true" outlineLevel="0" collapsed="false">
      <c r="A4" s="1" t="s">
        <v>283</v>
      </c>
      <c r="B4" s="21" t="n">
        <v>5</v>
      </c>
      <c r="C4" s="1" t="n">
        <v>4</v>
      </c>
      <c r="D4" s="1" t="n">
        <v>6</v>
      </c>
      <c r="E4" s="1" t="n">
        <v>3</v>
      </c>
      <c r="F4" s="1" t="n">
        <v>5</v>
      </c>
    </row>
    <row r="5" customFormat="false" ht="15" hidden="false" customHeight="true" outlineLevel="0" collapsed="false">
      <c r="A5" s="1" t="s">
        <v>284</v>
      </c>
      <c r="B5" s="21" t="n">
        <v>30000</v>
      </c>
      <c r="C5" s="1" t="n">
        <v>35000</v>
      </c>
      <c r="D5" s="1" t="n">
        <v>28000</v>
      </c>
      <c r="E5" s="1" t="n">
        <v>40000</v>
      </c>
      <c r="F5" s="1" t="n">
        <v>32000</v>
      </c>
    </row>
    <row r="6" customFormat="false" ht="15" hidden="false" customHeight="true" outlineLevel="0" collapsed="false">
      <c r="A6" s="1" t="s">
        <v>285</v>
      </c>
      <c r="B6" s="21" t="n">
        <v>200000</v>
      </c>
      <c r="C6" s="1" t="n">
        <v>250000</v>
      </c>
      <c r="D6" s="1" t="n">
        <v>150000</v>
      </c>
      <c r="E6" s="1" t="n">
        <v>300000</v>
      </c>
      <c r="F6" s="1" t="n">
        <v>180000</v>
      </c>
    </row>
    <row r="7" customFormat="false" ht="15" hidden="false" customHeight="true" outlineLevel="0" collapsed="false">
      <c r="A7" s="1" t="s">
        <v>286</v>
      </c>
      <c r="B7" s="21" t="n">
        <v>3</v>
      </c>
      <c r="C7" s="1" t="n">
        <v>3</v>
      </c>
      <c r="D7" s="1" t="n">
        <v>4</v>
      </c>
      <c r="E7" s="1" t="n">
        <v>2</v>
      </c>
      <c r="F7" s="1" t="n">
        <v>3</v>
      </c>
    </row>
    <row r="8" customFormat="false" ht="15" hidden="false" customHeight="true" outlineLevel="0" collapsed="false">
      <c r="A8" s="1" t="s">
        <v>287</v>
      </c>
      <c r="B8" s="21" t="n">
        <v>800000</v>
      </c>
      <c r="C8" s="1" t="n">
        <v>600000</v>
      </c>
      <c r="D8" s="1" t="n">
        <v>900000</v>
      </c>
      <c r="E8" s="1" t="n">
        <v>500000</v>
      </c>
      <c r="F8" s="1" t="n">
        <v>750000</v>
      </c>
    </row>
    <row r="9" customFormat="false" ht="15" hidden="false" customHeight="true" outlineLevel="0" collapsed="false">
      <c r="A9" s="1" t="s">
        <v>288</v>
      </c>
      <c r="B9" s="22" t="n">
        <v>0.2</v>
      </c>
      <c r="C9" s="23" t="n">
        <v>0.25</v>
      </c>
      <c r="D9" s="23" t="n">
        <v>0.18</v>
      </c>
      <c r="E9" s="23" t="n">
        <v>0.3</v>
      </c>
      <c r="F9" s="23" t="n">
        <v>0.22</v>
      </c>
    </row>
    <row r="10" customFormat="false" ht="15" hidden="false" customHeight="true" outlineLevel="0" collapsed="false">
      <c r="A10" s="1" t="s">
        <v>289</v>
      </c>
      <c r="B10" s="1" t="n">
        <v>0.2</v>
      </c>
    </row>
    <row r="11" customFormat="false" ht="15" hidden="false" customHeight="true" outlineLevel="0" collapsed="false">
      <c r="B11" s="4" t="n">
        <f aca="false">IF(OR(ISBLANK(B3),ISBLANK(B4),ISBLANK(B5)),0,B3+(B4*B5))</f>
        <v>250000</v>
      </c>
      <c r="C11" s="4" t="n">
        <f aca="false">IF(OR(ISBLANK(C3),ISBLANK(C4),ISBLANK(C5)),0,C3+(C4*C5))</f>
        <v>220000</v>
      </c>
      <c r="D11" s="4" t="n">
        <f aca="false">IF(OR(ISBLANK(D3),ISBLANK(D4),ISBLANK(D5)),0,D3+(D4*D5))</f>
        <v>243000</v>
      </c>
      <c r="E11" s="4" t="n">
        <f aca="false">IF(OR(ISBLANK(E3),ISBLANK(E4),ISBLANK(E5)),0,E3+(E4*E5))</f>
        <v>210000</v>
      </c>
      <c r="F11" s="4" t="n">
        <f aca="false">IF(OR(ISBLANK(F3),ISBLANK(F4),ISBLANK(F5)),0,F3+(F4*F5))</f>
        <v>270000</v>
      </c>
    </row>
    <row r="12" customFormat="false" ht="15" hidden="false" customHeight="true" outlineLevel="0" collapsed="false">
      <c r="A12" s="1" t="s">
        <v>290</v>
      </c>
      <c r="B12" s="5" t="n">
        <f aca="false">IF(OR(ISBLANK(B11),ISBLANK(B6),ISBLANK(B7)),-1,B11+(IF(B7=0,0,B6/B7)))</f>
        <v>316666.666666667</v>
      </c>
      <c r="C12" s="4" t="n">
        <f aca="false">IF(OR(ISBLANK(C11),ISBLANK(C6),ISBLANK(C7)),-1,C11+(IF(C7=0,0,C6/C7)))</f>
        <v>303333.333333333</v>
      </c>
      <c r="D12" s="4" t="n">
        <f aca="false">IF(OR(ISBLANK(D11),ISBLANK(D6),ISBLANK(D7)),-1,D11+(IF(D7=0,0,D6/D7)))</f>
        <v>280500</v>
      </c>
      <c r="E12" s="4" t="n">
        <f aca="false">IF(OR(ISBLANK(E11),ISBLANK(E6),ISBLANK(E7)),-1,E11+(IF(E7=0,0,E6/E7)))</f>
        <v>360000</v>
      </c>
      <c r="F12" s="4" t="n">
        <f aca="false">IF(OR(ISBLANK(F11),ISBLANK(F6),ISBLANK(F7)),-1,F11+(IF(F7=0,0,F6/F7)))</f>
        <v>330000</v>
      </c>
    </row>
    <row r="13" customFormat="false" ht="15" hidden="false" customHeight="true" outlineLevel="0" collapsed="false">
      <c r="A13" s="1" t="s">
        <v>291</v>
      </c>
      <c r="B13" s="5" t="n">
        <f aca="false">IF(ISBLANK(B12),-1,B12*6)</f>
        <v>1900000</v>
      </c>
      <c r="C13" s="4" t="n">
        <f aca="false">IF(ISBLANK(C12),-1,C12*6)</f>
        <v>1820000</v>
      </c>
      <c r="D13" s="4" t="n">
        <f aca="false">IF(ISBLANK(D12),-1,D12*6)</f>
        <v>1683000</v>
      </c>
      <c r="E13" s="4" t="n">
        <f aca="false">IF(ISBLANK(E12),-1,E12*6)</f>
        <v>2160000</v>
      </c>
      <c r="F13" s="4" t="n">
        <f aca="false">IF(ISBLANK(F12),-1,F12*6)</f>
        <v>1980000</v>
      </c>
    </row>
    <row r="14" customFormat="false" ht="15" hidden="false" customHeight="true" outlineLevel="0" collapsed="false">
      <c r="A14" s="1" t="s">
        <v>292</v>
      </c>
      <c r="B14" s="5" t="n">
        <f aca="false">IF(ISBLANK(B12),-1,B12*12)</f>
        <v>3800000</v>
      </c>
      <c r="C14" s="4" t="n">
        <f aca="false">IF(ISBLANK(C12),-1,C12*12)</f>
        <v>3640000</v>
      </c>
      <c r="D14" s="4" t="n">
        <f aca="false">IF(ISBLANK(D12),-1,D12*12)</f>
        <v>3366000</v>
      </c>
      <c r="E14" s="4" t="n">
        <f aca="false">IF(ISBLANK(E12),-1,E12*12)</f>
        <v>4320000</v>
      </c>
      <c r="F14" s="4" t="n">
        <f aca="false">IF(ISBLANK(F12),-1,F12*12)</f>
        <v>3960000</v>
      </c>
    </row>
    <row r="15" customFormat="false" ht="15" hidden="false" customHeight="true" outlineLevel="0" collapsed="false">
      <c r="A15" s="1" t="s">
        <v>293</v>
      </c>
      <c r="B15" s="5" t="n">
        <f aca="false">IF(OR(ISBLANK(B8),ISBLANK(B9)),0,B8*B9)</f>
        <v>160000</v>
      </c>
      <c r="C15" s="4" t="n">
        <f aca="false">IF(OR(ISBLANK(C8),ISBLANK(C9)),0,C8*C9)</f>
        <v>150000</v>
      </c>
      <c r="D15" s="4" t="n">
        <f aca="false">IF(OR(ISBLANK(D8),ISBLANK(D9)),0,D8*D9)</f>
        <v>162000</v>
      </c>
      <c r="E15" s="4" t="n">
        <f aca="false">IF(OR(ISBLANK(E8),ISBLANK(E9)),0,E8*E9)</f>
        <v>150000</v>
      </c>
      <c r="F15" s="4" t="n">
        <f aca="false">IF(OR(ISBLANK(F8),ISBLANK(F9)),0,F8*F9)</f>
        <v>165000</v>
      </c>
    </row>
    <row r="16" customFormat="false" ht="15" hidden="false" customHeight="true" outlineLevel="0" collapsed="false">
      <c r="A16" s="1" t="s">
        <v>294</v>
      </c>
      <c r="B16" s="5" t="n">
        <f aca="false">IF(OR(ISBLANK(B15),ISBLANK(B12)),-1,B15-B12)</f>
        <v>-156666.666666667</v>
      </c>
      <c r="C16" s="4" t="n">
        <f aca="false">IF(OR(ISBLANK(C15),ISBLANK(C12)),-1,C15-C12)</f>
        <v>-153333.333333333</v>
      </c>
      <c r="D16" s="4" t="n">
        <f aca="false">IF(OR(ISBLANK(D15),ISBLANK(D12)),-1,D15-D12)</f>
        <v>-118500</v>
      </c>
      <c r="E16" s="4" t="n">
        <f aca="false">IF(OR(ISBLANK(E15),ISBLANK(E12)),-1,E15-E12)</f>
        <v>-210000</v>
      </c>
      <c r="F16" s="4" t="n">
        <f aca="false">IF(OR(ISBLANK(F15),ISBLANK(F12)),-1,F15-F12)</f>
        <v>-165000</v>
      </c>
    </row>
    <row r="17" customFormat="false" ht="15" hidden="false" customHeight="true" outlineLevel="0" collapsed="false">
      <c r="A17" s="1" t="s">
        <v>295</v>
      </c>
      <c r="B17" s="6" t="n">
        <f aca="false">IF(OR(B16&lt;=0,ISBLANK(B16)),999,B13/B16)</f>
        <v>999</v>
      </c>
      <c r="C17" s="24" t="n">
        <f aca="false">IF(OR(C16&lt;=0,ISBLANK(C16)),999,C13/C16)</f>
        <v>999</v>
      </c>
      <c r="D17" s="24" t="n">
        <f aca="false">IF(OR(D16&lt;=0,ISBLANK(D16)),999,D13/D16)</f>
        <v>999</v>
      </c>
      <c r="E17" s="24" t="n">
        <f aca="false">IF(OR(E16&lt;=0,ISBLANK(E16)),999,E13/E16)</f>
        <v>999</v>
      </c>
      <c r="F17" s="24" t="n">
        <f aca="false">IF(OR(F16&lt;=0,ISBLANK(F16)),999,F13/F16)</f>
        <v>999</v>
      </c>
    </row>
    <row r="18" customFormat="false" ht="15" hidden="false" customHeight="true" outlineLevel="0" collapsed="false">
      <c r="A18" s="1" t="s">
        <v>296</v>
      </c>
      <c r="B18" s="5" t="str">
        <f aca="false">IF(ISBLANK(B17),"Error",IF(B17&lt;=6,"Healthy",IF(B17&lt;=12,"Warning","Critical")))</f>
        <v>Critical</v>
      </c>
      <c r="C18" s="1" t="str">
        <f aca="false">IF(ISBLANK(C17),"Error",IF(C17&lt;=6,"Healthy",IF(C17&lt;=12,"Warning","Critical")))</f>
        <v>Critical</v>
      </c>
      <c r="D18" s="1" t="str">
        <f aca="false">IF(ISBLANK(D17),"Error",IF(D17&lt;=6,"Healthy",IF(D17&lt;=12,"Warning","Critical")))</f>
        <v>Critical</v>
      </c>
      <c r="E18" s="1" t="str">
        <f aca="false">IF(ISBLANK(E17),"Error",IF(E17&lt;=6,"Healthy",IF(E17&lt;=12,"Warning","Critical")))</f>
        <v>Critical</v>
      </c>
      <c r="F18" s="1" t="str">
        <f aca="false">IF(ISBLANK(F17),"Error",IF(F17&lt;=6,"Healthy",IF(F17&lt;=12,"Warning","Critical")))</f>
        <v>Critical</v>
      </c>
    </row>
    <row r="19" customFormat="false" ht="15" hidden="false" customHeight="true" outlineLevel="0" collapsed="false">
      <c r="A19" s="1" t="s">
        <v>297</v>
      </c>
      <c r="B19" s="5" t="str">
        <f aca="false">IF(C16&lt;100000,"Healthy",IF(C16&lt;50000,"Warning","Critical"))</f>
        <v>Healthy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&amp;LCONFIDENTIAL - Trustner Group&amp;C&amp;D&amp;RPage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15"/>
    <col collapsed="false" customWidth="true" hidden="false" outlineLevel="0" max="4" min="4" style="1" width="18"/>
    <col collapsed="false" customWidth="true" hidden="false" outlineLevel="0" max="5" min="5" style="1" width="30"/>
    <col collapsed="false" customWidth="true" hidden="false" outlineLevel="0" max="6" min="6" style="1" width="15"/>
  </cols>
  <sheetData>
    <row r="1" customFormat="false" ht="26.25" hidden="false" customHeight="true" outlineLevel="0" collapsed="false">
      <c r="A1" s="2" t="s">
        <v>298</v>
      </c>
      <c r="B1" s="2" t="s">
        <v>299</v>
      </c>
      <c r="C1" s="2" t="s">
        <v>300</v>
      </c>
      <c r="D1" s="2" t="s">
        <v>301</v>
      </c>
      <c r="E1" s="2" t="s">
        <v>302</v>
      </c>
      <c r="F1" s="2" t="s">
        <v>303</v>
      </c>
    </row>
    <row r="2" customFormat="false" ht="15" hidden="false" customHeight="true" outlineLevel="0" collapsed="false">
      <c r="A2" s="1" t="s">
        <v>304</v>
      </c>
      <c r="B2" s="1" t="s">
        <v>305</v>
      </c>
      <c r="C2" s="1" t="n">
        <v>2</v>
      </c>
      <c r="D2" s="25" t="n">
        <v>0.8</v>
      </c>
      <c r="E2" s="1" t="s">
        <v>306</v>
      </c>
      <c r="F2" s="25" t="n">
        <v>0.1</v>
      </c>
    </row>
    <row r="3" customFormat="false" ht="15" hidden="false" customHeight="true" outlineLevel="0" collapsed="false">
      <c r="A3" s="1" t="s">
        <v>305</v>
      </c>
      <c r="B3" s="1" t="s">
        <v>307</v>
      </c>
      <c r="C3" s="1" t="n">
        <v>3</v>
      </c>
      <c r="D3" s="25" t="n">
        <v>0.9</v>
      </c>
      <c r="E3" s="1" t="s">
        <v>308</v>
      </c>
      <c r="F3" s="25" t="n">
        <v>0.15</v>
      </c>
    </row>
    <row r="4" customFormat="false" ht="15" hidden="false" customHeight="true" outlineLevel="0" collapsed="false">
      <c r="A4" s="1" t="s">
        <v>307</v>
      </c>
      <c r="B4" s="1" t="s">
        <v>309</v>
      </c>
      <c r="C4" s="1" t="n">
        <v>3</v>
      </c>
      <c r="D4" s="25" t="n">
        <v>0.95</v>
      </c>
      <c r="E4" s="1" t="s">
        <v>310</v>
      </c>
      <c r="F4" s="25" t="n">
        <v>0.2</v>
      </c>
    </row>
    <row r="5" customFormat="false" ht="15" hidden="false" customHeight="true" outlineLevel="0" collapsed="false">
      <c r="A5" s="1" t="s">
        <v>309</v>
      </c>
      <c r="B5" s="1" t="s">
        <v>311</v>
      </c>
      <c r="C5" s="1" t="n">
        <v>4</v>
      </c>
      <c r="D5" s="25" t="n">
        <v>1</v>
      </c>
      <c r="E5" s="1" t="s">
        <v>312</v>
      </c>
      <c r="F5" s="25" t="n">
        <v>0.25</v>
      </c>
    </row>
    <row r="6" customFormat="false" ht="15" hidden="false" customHeight="true" outlineLevel="0" collapsed="false">
      <c r="A6" s="1" t="s">
        <v>311</v>
      </c>
      <c r="B6" s="1" t="s">
        <v>313</v>
      </c>
      <c r="C6" s="1" t="n">
        <v>5</v>
      </c>
      <c r="D6" s="25" t="n">
        <v>1.1</v>
      </c>
      <c r="E6" s="1" t="s">
        <v>314</v>
      </c>
      <c r="F6" s="25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&amp;LCONFIDENTIAL - Trustner Group&amp;C&amp;D&amp;RPage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2"/>
  </cols>
  <sheetData>
    <row r="1" customFormat="false" ht="15" hidden="false" customHeight="true" outlineLevel="0" collapsed="false">
      <c r="A1" s="2" t="s">
        <v>274</v>
      </c>
      <c r="B1" s="2" t="s">
        <v>315</v>
      </c>
      <c r="C1" s="2" t="s">
        <v>316</v>
      </c>
      <c r="D1" s="2" t="s">
        <v>317</v>
      </c>
      <c r="E1" s="2" t="s">
        <v>318</v>
      </c>
      <c r="F1" s="2" t="s">
        <v>319</v>
      </c>
    </row>
    <row r="2" customFormat="false" ht="15" hidden="false" customHeight="true" outlineLevel="0" collapsed="false">
      <c r="A2" s="1" t="s">
        <v>320</v>
      </c>
      <c r="B2" s="21" t="n">
        <v>45</v>
      </c>
      <c r="C2" s="21" t="n">
        <v>90</v>
      </c>
      <c r="D2" s="21" t="n">
        <v>126</v>
      </c>
      <c r="E2" s="21" t="n">
        <v>176</v>
      </c>
      <c r="F2" s="21" t="n">
        <v>246</v>
      </c>
    </row>
    <row r="3" customFormat="false" ht="15" hidden="false" customHeight="true" outlineLevel="0" collapsed="false">
      <c r="A3" s="1" t="s">
        <v>321</v>
      </c>
      <c r="B3" s="21" t="n">
        <v>32</v>
      </c>
      <c r="C3" s="21" t="n">
        <v>42</v>
      </c>
      <c r="D3" s="21" t="n">
        <v>54</v>
      </c>
      <c r="E3" s="21" t="n">
        <v>70</v>
      </c>
      <c r="F3" s="21" t="n">
        <v>91</v>
      </c>
    </row>
    <row r="4" customFormat="false" ht="15" hidden="false" customHeight="true" outlineLevel="0" collapsed="false">
      <c r="A4" s="1" t="s">
        <v>322</v>
      </c>
      <c r="B4" s="21" t="n">
        <v>3</v>
      </c>
      <c r="C4" s="21" t="n">
        <v>4</v>
      </c>
      <c r="D4" s="21" t="n">
        <v>5</v>
      </c>
      <c r="E4" s="21" t="n">
        <v>7</v>
      </c>
      <c r="F4" s="21" t="n">
        <v>9</v>
      </c>
    </row>
    <row r="5" customFormat="false" ht="15" hidden="false" customHeight="true" outlineLevel="0" collapsed="false">
      <c r="A5" s="1" t="s">
        <v>323</v>
      </c>
      <c r="B5" s="7" t="n">
        <f aca="false">B2+B3+B4</f>
        <v>80</v>
      </c>
      <c r="C5" s="7" t="n">
        <f aca="false">C2+C3+C4</f>
        <v>136</v>
      </c>
      <c r="D5" s="7" t="n">
        <f aca="false">D2+D3+D4</f>
        <v>185</v>
      </c>
      <c r="E5" s="7" t="n">
        <f aca="false">E2+E3+E4</f>
        <v>253</v>
      </c>
      <c r="F5" s="7" t="n">
        <f aca="false">F2+F3+F4</f>
        <v>346</v>
      </c>
    </row>
    <row r="6" customFormat="false" ht="15" hidden="false" customHeight="true" outlineLevel="0" collapsed="false">
      <c r="A6" s="1" t="s">
        <v>324</v>
      </c>
      <c r="B6" s="14" t="n">
        <v>35000</v>
      </c>
      <c r="C6" s="14" t="n">
        <v>38500</v>
      </c>
      <c r="D6" s="14" t="n">
        <v>42350</v>
      </c>
      <c r="E6" s="14" t="n">
        <v>46585</v>
      </c>
      <c r="F6" s="14" t="n">
        <v>51243</v>
      </c>
    </row>
    <row r="7" customFormat="false" ht="15" hidden="false" customHeight="true" outlineLevel="0" collapsed="false">
      <c r="A7" s="1" t="s">
        <v>325</v>
      </c>
      <c r="B7" s="5" t="n">
        <f aca="false">B5*B6*12</f>
        <v>33600000</v>
      </c>
      <c r="C7" s="5" t="n">
        <f aca="false">C5*C6*12</f>
        <v>62832000</v>
      </c>
      <c r="D7" s="5" t="n">
        <f aca="false">D5*D6*12</f>
        <v>94017000</v>
      </c>
      <c r="E7" s="5" t="n">
        <f aca="false">E5*E6*12</f>
        <v>141432060</v>
      </c>
      <c r="F7" s="5" t="n">
        <f aca="false">F5*F6*12</f>
        <v>212760936</v>
      </c>
    </row>
    <row r="8" customFormat="false" ht="15" hidden="false" customHeight="true" outlineLevel="0" collapsed="false">
      <c r="A8" s="1" t="s">
        <v>326</v>
      </c>
      <c r="B8" s="5" t="n">
        <f aca="false">B7/0.3</f>
        <v>112000000</v>
      </c>
      <c r="C8" s="5" t="n">
        <f aca="false">C7/0.3</f>
        <v>209440000</v>
      </c>
      <c r="D8" s="5" t="n">
        <f aca="false">D7/0.3</f>
        <v>313390000</v>
      </c>
      <c r="E8" s="5" t="n">
        <f aca="false">E7/0.3</f>
        <v>471440200</v>
      </c>
      <c r="F8" s="5" t="n">
        <f aca="false">F7/0.3</f>
        <v>709203120</v>
      </c>
    </row>
    <row r="9" customFormat="false" ht="15" hidden="false" customHeight="true" outlineLevel="0" collapsed="false">
      <c r="A9" s="1" t="s">
        <v>327</v>
      </c>
      <c r="B9" s="5" t="n">
        <f aca="false">B8*0.08</f>
        <v>8960000</v>
      </c>
      <c r="C9" s="5" t="n">
        <f aca="false">C8*0.08</f>
        <v>16755200</v>
      </c>
      <c r="D9" s="5" t="n">
        <f aca="false">D8*0.08</f>
        <v>25071200</v>
      </c>
      <c r="E9" s="5" t="n">
        <f aca="false">E8*0.08</f>
        <v>37715216</v>
      </c>
      <c r="F9" s="5" t="n">
        <f aca="false">F8*0.08</f>
        <v>56736249.6</v>
      </c>
    </row>
    <row r="10" customFormat="false" ht="15" hidden="false" customHeight="true" outlineLevel="0" collapsed="false">
      <c r="A10" s="1" t="s">
        <v>328</v>
      </c>
      <c r="B10" s="5" t="n">
        <f aca="false">B7+B9</f>
        <v>42560000</v>
      </c>
      <c r="C10" s="5" t="n">
        <f aca="false">C7+C9</f>
        <v>79587200</v>
      </c>
      <c r="D10" s="5" t="n">
        <f aca="false">D7+D9</f>
        <v>119088200</v>
      </c>
      <c r="E10" s="5" t="n">
        <f aca="false">E7+E9</f>
        <v>179147276</v>
      </c>
      <c r="F10" s="5" t="n">
        <f aca="false">F7+F9</f>
        <v>269497185.6</v>
      </c>
    </row>
    <row r="11" customFormat="false" ht="15" hidden="false" customHeight="true" outlineLevel="0" collapsed="false">
      <c r="A11" s="1" t="s">
        <v>329</v>
      </c>
      <c r="B11" s="5" t="n">
        <f aca="false">B8-B10</f>
        <v>69440000</v>
      </c>
      <c r="C11" s="5" t="n">
        <f aca="false">C8-C10</f>
        <v>129852800</v>
      </c>
      <c r="D11" s="5" t="n">
        <f aca="false">D8-D10</f>
        <v>194301800</v>
      </c>
      <c r="E11" s="5" t="n">
        <f aca="false">E8-E10</f>
        <v>292292924</v>
      </c>
      <c r="F11" s="5" t="n">
        <f aca="false">F8-F10</f>
        <v>439705934.4</v>
      </c>
    </row>
    <row r="12" customFormat="false" ht="15" hidden="false" customHeight="true" outlineLevel="0" collapsed="false">
      <c r="A12" s="1" t="s">
        <v>330</v>
      </c>
      <c r="B12" s="15" t="n">
        <f aca="false">IF(B10=0,0,B11/B10)</f>
        <v>1.63157894736842</v>
      </c>
      <c r="C12" s="15" t="n">
        <f aca="false">IF(C10=0,0,C11/C10)</f>
        <v>1.63157894736842</v>
      </c>
      <c r="D12" s="15" t="n">
        <f aca="false">IF(D10=0,0,D11/D10)</f>
        <v>1.63157894736842</v>
      </c>
      <c r="E12" s="15" t="n">
        <f aca="false">IF(E10=0,0,E11/E10)</f>
        <v>1.63157894736842</v>
      </c>
      <c r="F12" s="15" t="n">
        <f aca="false">IF(F10=0,0,F11/F10)</f>
        <v>1.63157894736842</v>
      </c>
    </row>
    <row r="13" customFormat="false" ht="15" hidden="false" customHeight="true" outlineLevel="0" collapsed="false">
      <c r="A13" s="1" t="s">
        <v>331</v>
      </c>
      <c r="B13" s="5" t="n">
        <f aca="false">IF(B5=0,0,B8/B5)</f>
        <v>1400000</v>
      </c>
      <c r="C13" s="5" t="n">
        <f aca="false">IF(C5=0,0,C8/C5)</f>
        <v>1540000</v>
      </c>
      <c r="D13" s="5" t="n">
        <f aca="false">IF(D5=0,0,D8/D5)</f>
        <v>1694000</v>
      </c>
      <c r="E13" s="5" t="n">
        <f aca="false">IF(E5=0,0,E8/E5)</f>
        <v>1863400</v>
      </c>
      <c r="F13" s="5" t="n">
        <f aca="false">IF(F5=0,0,F8/F5)</f>
        <v>2049720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&amp;LCONFIDENTIAL - Trustner Group&amp;C&amp;D&amp;RPage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15"/>
  </cols>
  <sheetData>
    <row r="1" customFormat="false" ht="17.25" hidden="false" customHeight="true" outlineLevel="0" collapsed="false">
      <c r="A1" s="26" t="s">
        <v>332</v>
      </c>
    </row>
    <row r="3" customFormat="false" ht="15" hidden="false" customHeight="true" outlineLevel="0" collapsed="false">
      <c r="A3" s="27" t="s">
        <v>333</v>
      </c>
    </row>
    <row r="4" customFormat="false" ht="15" hidden="false" customHeight="true" outlineLevel="0" collapsed="false">
      <c r="A4" s="12" t="s">
        <v>7</v>
      </c>
      <c r="B4" s="12" t="s">
        <v>334</v>
      </c>
      <c r="C4" s="12" t="s">
        <v>335</v>
      </c>
    </row>
    <row r="5" customFormat="false" ht="15" hidden="false" customHeight="true" outlineLevel="0" collapsed="false">
      <c r="A5" s="1" t="s">
        <v>29</v>
      </c>
      <c r="B5" s="7" t="n">
        <f aca="false">COUNTIF('Employee Master'!$H$2:$H$100,"TIB")</f>
        <v>33</v>
      </c>
      <c r="C5" s="15" t="n">
        <f aca="false">IF(SUM($B$5:$B$7)=0,0,B5/SUM($B$5:$B$7))</f>
        <v>0.540983606557377</v>
      </c>
    </row>
    <row r="6" customFormat="false" ht="15" hidden="false" customHeight="true" outlineLevel="0" collapsed="false">
      <c r="A6" s="1" t="s">
        <v>20</v>
      </c>
      <c r="B6" s="7" t="n">
        <f aca="false">COUNTIF('Employee Master'!$H$2:$H$100,"TAS")</f>
        <v>25</v>
      </c>
      <c r="C6" s="15" t="n">
        <f aca="false">IF(SUM($B$5:$B$7)=0,0,B6/SUM($B$5:$B$7))</f>
        <v>0.409836065573771</v>
      </c>
    </row>
    <row r="7" customFormat="false" ht="15" hidden="false" customHeight="true" outlineLevel="0" collapsed="false">
      <c r="A7" s="1" t="s">
        <v>183</v>
      </c>
      <c r="B7" s="7" t="n">
        <f aca="false">COUNTIF('Employee Master'!$H$2:$H$100,"Vendor")</f>
        <v>3</v>
      </c>
      <c r="C7" s="15" t="n">
        <f aca="false">IF(SUM($B$5:$B$7)=0,0,B7/SUM($B$5:$B$7))</f>
        <v>0.0491803278688525</v>
      </c>
    </row>
    <row r="9" customFormat="false" ht="15" hidden="false" customHeight="true" outlineLevel="0" collapsed="false">
      <c r="A9" s="27" t="s">
        <v>336</v>
      </c>
    </row>
    <row r="10" customFormat="false" ht="15" hidden="false" customHeight="true" outlineLevel="0" collapsed="false">
      <c r="A10" s="1" t="s">
        <v>336</v>
      </c>
      <c r="B10" s="5" t="n">
        <f aca="false">SUM('Employee Master'!$G$2:$G$100)</f>
        <v>2419683</v>
      </c>
    </row>
    <row r="11" customFormat="false" ht="15" hidden="false" customHeight="true" outlineLevel="0" collapsed="false">
      <c r="A11" s="1" t="s">
        <v>337</v>
      </c>
      <c r="B11" s="5" t="n">
        <f aca="false">B10*12</f>
        <v>29036196</v>
      </c>
    </row>
    <row r="13" customFormat="false" ht="15" hidden="false" customHeight="true" outlineLevel="0" collapsed="false">
      <c r="A13" s="27" t="s">
        <v>338</v>
      </c>
    </row>
    <row r="14" customFormat="false" ht="15" hidden="false" customHeight="true" outlineLevel="0" collapsed="false">
      <c r="A14" s="12" t="s">
        <v>4</v>
      </c>
      <c r="B14" s="12" t="s">
        <v>339</v>
      </c>
      <c r="C14" s="12" t="s">
        <v>340</v>
      </c>
      <c r="D14" s="12" t="s">
        <v>341</v>
      </c>
    </row>
    <row r="15" customFormat="false" ht="15" hidden="false" customHeight="true" outlineLevel="0" collapsed="false">
      <c r="A15" s="1" t="s">
        <v>28</v>
      </c>
      <c r="B15" s="7" t="n">
        <f aca="false">COUNTIF('Employee Master'!$E$2:$E$100,"LIFE")</f>
        <v>3</v>
      </c>
      <c r="C15" s="5" t="n">
        <f aca="false">SUMIF('Employee Master'!$E$2:$E$100,"LIFE",'Employee Master'!$G$2:$G$100)</f>
        <v>181651</v>
      </c>
      <c r="D15" s="15" t="n">
        <f aca="false">IF($B$11=0,0,C15/$B$11)</f>
        <v>0.00625601921133195</v>
      </c>
    </row>
    <row r="16" customFormat="false" ht="15" hidden="false" customHeight="true" outlineLevel="0" collapsed="false">
      <c r="A16" s="1" t="s">
        <v>33</v>
      </c>
      <c r="B16" s="7" t="n">
        <f aca="false">COUNTIF('Employee Master'!$E$2:$E$100,"HEALTH")</f>
        <v>9</v>
      </c>
      <c r="C16" s="5" t="n">
        <f aca="false">SUMIF('Employee Master'!$E$2:$E$100,"HEALTH",'Employee Master'!$G$2:$G$100)</f>
        <v>368591</v>
      </c>
      <c r="D16" s="15" t="n">
        <f aca="false">IF($B$11=0,0,C16/$B$11)</f>
        <v>0.0126941903822388</v>
      </c>
    </row>
    <row r="17" customFormat="false" ht="15" hidden="false" customHeight="true" outlineLevel="0" collapsed="false">
      <c r="A17" s="1" t="s">
        <v>46</v>
      </c>
      <c r="B17" s="7" t="n">
        <f aca="false">COUNTIF('Employee Master'!$E$2:$E$100,"G.I.")</f>
        <v>4</v>
      </c>
      <c r="C17" s="5" t="n">
        <f aca="false">SUMIF('Employee Master'!$E$2:$E$100,"G.I.",'Employee Master'!$G$2:$G$100)</f>
        <v>184054</v>
      </c>
      <c r="D17" s="15" t="n">
        <f aca="false">IF($B$11=0,0,C17/$B$11)</f>
        <v>0.00633877798593177</v>
      </c>
    </row>
    <row r="18" customFormat="false" ht="15" hidden="false" customHeight="true" outlineLevel="0" collapsed="false">
      <c r="A18" s="1" t="s">
        <v>50</v>
      </c>
      <c r="B18" s="7" t="n">
        <f aca="false">COUNTIF('Employee Master'!$E$2:$E$100,"F.P.")</f>
        <v>7</v>
      </c>
      <c r="C18" s="5" t="n">
        <f aca="false">SUMIF('Employee Master'!$E$2:$E$100,"F.P.",'Employee Master'!$G$2:$G$100)</f>
        <v>244316</v>
      </c>
      <c r="D18" s="15" t="n">
        <f aca="false">IF($B$11=0,0,C18/$B$11)</f>
        <v>0.00841418758848439</v>
      </c>
    </row>
    <row r="19" customFormat="false" ht="15" hidden="false" customHeight="true" outlineLevel="0" collapsed="false">
      <c r="A19" s="1" t="s">
        <v>81</v>
      </c>
      <c r="B19" s="7" t="n">
        <f aca="false">COUNTIF('Employee Master'!$E$2:$E$100,"DEMAT")</f>
        <v>1</v>
      </c>
      <c r="C19" s="5" t="n">
        <f aca="false">SUMIF('Employee Master'!$E$2:$E$100,"DEMAT",'Employee Master'!$G$2:$G$100)</f>
        <v>27008</v>
      </c>
      <c r="D19" s="15" t="n">
        <f aca="false">IF($B$11=0,0,C19/$B$11)</f>
        <v>0.000930149390092284</v>
      </c>
    </row>
    <row r="20" customFormat="false" ht="15" hidden="false" customHeight="true" outlineLevel="0" collapsed="false">
      <c r="A20" s="1" t="s">
        <v>149</v>
      </c>
      <c r="B20" s="7" t="n">
        <f aca="false">COUNTIF('Employee Master'!$E$2:$E$100,"POSP")</f>
        <v>8</v>
      </c>
      <c r="C20" s="5" t="n">
        <f aca="false">SUMIF('Employee Master'!$E$2:$E$100,"POSP",'Employee Master'!$G$2:$G$100)</f>
        <v>431877</v>
      </c>
      <c r="D20" s="15" t="n">
        <f aca="false">IF($B$11=0,0,C20/$B$11)</f>
        <v>0.0148737458584451</v>
      </c>
    </row>
    <row r="21" customFormat="false" ht="15" hidden="false" customHeight="true" outlineLevel="0" collapsed="false">
      <c r="A21" s="1" t="s">
        <v>18</v>
      </c>
      <c r="B21" s="7" t="n">
        <f aca="false">COUNTIF('Employee Master'!$E$2:$E$100,"OPERATION")</f>
        <v>19</v>
      </c>
      <c r="C21" s="5" t="n">
        <f aca="false">SUMIF('Employee Master'!$E$2:$E$100,"OPERATION",'Employee Master'!$G$2:$G$100)</f>
        <v>749065</v>
      </c>
      <c r="D21" s="15" t="n">
        <f aca="false">IF($B$11=0,0,C21/$B$11)</f>
        <v>0.0257976285874362</v>
      </c>
    </row>
    <row r="22" customFormat="false" ht="15" hidden="false" customHeight="true" outlineLevel="0" collapsed="false">
      <c r="A22" s="1" t="s">
        <v>24</v>
      </c>
      <c r="B22" s="7" t="n">
        <f aca="false">COUNTIF('Employee Master'!$E$2:$E$100,"ADMIN")</f>
        <v>5</v>
      </c>
      <c r="C22" s="5" t="n">
        <f aca="false">SUMIF('Employee Master'!$E$2:$E$100,"ADMIN",'Employee Master'!$G$2:$G$100)</f>
        <v>116327</v>
      </c>
      <c r="D22" s="15" t="n">
        <f aca="false">IF($B$11=0,0,C22/$B$11)</f>
        <v>0.0040062754776831</v>
      </c>
    </row>
    <row r="23" customFormat="false" ht="15" hidden="false" customHeight="true" outlineLevel="0" collapsed="false">
      <c r="A23" s="1" t="s">
        <v>71</v>
      </c>
      <c r="B23" s="7" t="n">
        <f aca="false">COUNTIF('Employee Master'!$E$2:$E$100,"ACCOUNTS")</f>
        <v>2</v>
      </c>
      <c r="C23" s="5" t="n">
        <f aca="false">SUMIF('Employee Master'!$E$2:$E$100,"ACCOUNTS",'Employee Master'!$G$2:$G$100)</f>
        <v>69308</v>
      </c>
      <c r="D23" s="15" t="n">
        <f aca="false">IF($B$11=0,0,C23/$B$11)</f>
        <v>0.00238695178941484</v>
      </c>
    </row>
    <row r="24" customFormat="false" ht="15" hidden="false" customHeight="true" outlineLevel="0" collapsed="false">
      <c r="A24" s="1" t="s">
        <v>87</v>
      </c>
      <c r="B24" s="7" t="n">
        <f aca="false">COUNTIF('Employee Master'!$E$2:$E$100,"DIGITAL &amp; IT")</f>
        <v>3</v>
      </c>
      <c r="C24" s="5" t="n">
        <f aca="false">SUMIF('Employee Master'!$E$2:$E$100,"DIGITAL &amp; IT",'Employee Master'!$G$2:$G$100)</f>
        <v>47486</v>
      </c>
      <c r="D24" s="15" t="n">
        <f aca="false">IF($B$11=0,0,C24/$B$11)</f>
        <v>0.00163540706227496</v>
      </c>
    </row>
    <row r="27" customFormat="false" ht="15" hidden="false" customHeight="true" outlineLevel="0" collapsed="false">
      <c r="A27" s="27" t="s">
        <v>342</v>
      </c>
    </row>
    <row r="28" customFormat="false" ht="15" hidden="false" customHeight="true" outlineLevel="0" collapsed="false">
      <c r="A28" s="1" t="s">
        <v>343</v>
      </c>
      <c r="B28" s="5" t="n">
        <f aca="false">SUMIF('Employee Master'!$F$2:$F$100,"SALES",'Employee Master'!$G$2:$G$100)</f>
        <v>1866054</v>
      </c>
    </row>
    <row r="29" customFormat="false" ht="15" hidden="false" customHeight="true" outlineLevel="0" collapsed="false">
      <c r="A29" s="1" t="s">
        <v>344</v>
      </c>
      <c r="B29" s="5" t="n">
        <f aca="false">SUMIF('Employee Master'!$F$2:$F$100,"&lt;&gt;SALES",'Employee Master'!$G$2:$G$100)</f>
        <v>553629</v>
      </c>
    </row>
    <row r="30" customFormat="false" ht="15" hidden="false" customHeight="true" outlineLevel="0" collapsed="false">
      <c r="A30" s="1" t="s">
        <v>345</v>
      </c>
      <c r="B30" s="6" t="n">
        <f aca="false">IF(B29=0,0,B28/B29)</f>
        <v>3.37058571714993</v>
      </c>
    </row>
    <row r="32" customFormat="false" ht="15" hidden="false" customHeight="true" outlineLevel="0" collapsed="false">
      <c r="A32" s="27" t="s">
        <v>346</v>
      </c>
    </row>
    <row r="33" customFormat="false" ht="15" hidden="false" customHeight="true" outlineLevel="0" collapsed="false">
      <c r="A33" s="12" t="s">
        <v>347</v>
      </c>
      <c r="B33" s="12" t="s">
        <v>0</v>
      </c>
      <c r="C33" s="12" t="s">
        <v>3</v>
      </c>
      <c r="D33" s="12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&amp;LCONFIDENTIAL - Trustner Group&amp;C&amp;D&amp;RPage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15"/>
    <col collapsed="false" customWidth="true" hidden="false" outlineLevel="0" max="8" min="8" style="1" width="30"/>
  </cols>
  <sheetData>
    <row r="1" customFormat="false" ht="15" hidden="false" customHeight="true" outlineLevel="0" collapsed="false">
      <c r="A1" s="28" t="s">
        <v>349</v>
      </c>
    </row>
    <row r="2" customFormat="false" ht="15" hidden="false" customHeight="true" outlineLevel="0" collapsed="false">
      <c r="A2" s="12" t="s">
        <v>350</v>
      </c>
      <c r="B2" s="12" t="s">
        <v>351</v>
      </c>
      <c r="C2" s="12" t="s">
        <v>352</v>
      </c>
      <c r="D2" s="12" t="s">
        <v>353</v>
      </c>
      <c r="E2" s="12" t="s">
        <v>354</v>
      </c>
      <c r="F2" s="12" t="s">
        <v>355</v>
      </c>
    </row>
    <row r="3" customFormat="false" ht="15" hidden="false" customHeight="true" outlineLevel="0" collapsed="false">
      <c r="A3" s="1" t="s">
        <v>356</v>
      </c>
      <c r="B3" s="1" t="s">
        <v>357</v>
      </c>
      <c r="C3" s="1" t="s">
        <v>357</v>
      </c>
      <c r="D3" s="1" t="s">
        <v>357</v>
      </c>
      <c r="E3" s="1" t="s">
        <v>357</v>
      </c>
      <c r="F3" s="1" t="s">
        <v>357</v>
      </c>
    </row>
    <row r="4" customFormat="false" ht="15" hidden="false" customHeight="true" outlineLevel="0" collapsed="false">
      <c r="A4" s="1" t="s">
        <v>358</v>
      </c>
      <c r="B4" s="1" t="s">
        <v>357</v>
      </c>
      <c r="C4" s="1" t="s">
        <v>357</v>
      </c>
      <c r="D4" s="1" t="s">
        <v>359</v>
      </c>
      <c r="E4" s="1" t="s">
        <v>357</v>
      </c>
      <c r="F4" s="1" t="s">
        <v>357</v>
      </c>
    </row>
    <row r="5" customFormat="false" ht="15" hidden="false" customHeight="true" outlineLevel="0" collapsed="false">
      <c r="A5" s="1" t="s">
        <v>55</v>
      </c>
      <c r="B5" s="1" t="s">
        <v>357</v>
      </c>
      <c r="C5" s="1" t="s">
        <v>357</v>
      </c>
      <c r="D5" s="1" t="s">
        <v>359</v>
      </c>
      <c r="E5" s="1" t="s">
        <v>359</v>
      </c>
      <c r="F5" s="1" t="s">
        <v>359</v>
      </c>
    </row>
    <row r="6" customFormat="false" ht="15" hidden="false" customHeight="true" outlineLevel="0" collapsed="false">
      <c r="A6" s="1" t="s">
        <v>360</v>
      </c>
      <c r="B6" s="1" t="s">
        <v>361</v>
      </c>
      <c r="C6" s="1" t="s">
        <v>359</v>
      </c>
      <c r="D6" s="1" t="s">
        <v>357</v>
      </c>
      <c r="E6" s="1" t="s">
        <v>359</v>
      </c>
      <c r="F6" s="1" t="s">
        <v>359</v>
      </c>
    </row>
    <row r="7" customFormat="false" ht="15" hidden="false" customHeight="true" outlineLevel="0" collapsed="false">
      <c r="A7" s="1" t="s">
        <v>362</v>
      </c>
      <c r="B7" s="1" t="s">
        <v>357</v>
      </c>
      <c r="C7" s="1" t="s">
        <v>359</v>
      </c>
      <c r="D7" s="1" t="s">
        <v>359</v>
      </c>
      <c r="E7" s="1" t="s">
        <v>359</v>
      </c>
      <c r="F7" s="1" t="s">
        <v>359</v>
      </c>
    </row>
    <row r="10" customFormat="false" ht="15" hidden="false" customHeight="true" outlineLevel="0" collapsed="false">
      <c r="A10" s="27" t="s">
        <v>363</v>
      </c>
    </row>
    <row r="11" customFormat="false" ht="15" hidden="false" customHeight="true" outlineLevel="0" collapsed="false">
      <c r="A11" s="12" t="s">
        <v>364</v>
      </c>
      <c r="B11" s="12" t="s">
        <v>365</v>
      </c>
      <c r="C11" s="12" t="s">
        <v>274</v>
      </c>
      <c r="D11" s="12" t="s">
        <v>366</v>
      </c>
      <c r="E11" s="12" t="s">
        <v>367</v>
      </c>
      <c r="F11" s="12" t="s">
        <v>368</v>
      </c>
      <c r="G11" s="12" t="s">
        <v>369</v>
      </c>
      <c r="H11" s="12" t="s">
        <v>370</v>
      </c>
    </row>
    <row r="12" customFormat="false" ht="15" hidden="false" customHeight="true" outlineLevel="0" collapsed="false">
      <c r="A12" s="29" t="n">
        <v>46110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&amp;LCONFIDENTIAL - Trustner Group&amp;C&amp;D&amp;RPage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2026-03-29T08:37:31Z</dcterms:created>
  <dc:creator>openpyxl</dc:creator>
  <dc:description/>
  <dc:language>en-US</dc:language>
  <cp:lastModifiedBy/>
  <dcterms:modified xsi:type="dcterms:W3CDTF">2026-03-29T08:38:44Z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