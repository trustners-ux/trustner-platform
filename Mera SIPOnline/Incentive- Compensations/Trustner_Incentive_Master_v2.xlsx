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Tier Matrix" sheetId="1" state="visible" r:id="rId3"/>
    <sheet name="Trail Income Model" sheetId="2" state="visible" r:id="rId4"/>
    <sheet name="Channel Margin Calc" sheetId="3" state="visible" r:id="rId5"/>
    <sheet name="Employee Master" sheetId="4" state="visible" r:id="rId6"/>
    <sheet name="Product Credit Rules" sheetId="5" state="visible" r:id="rId7"/>
    <sheet name="Monthly Incentive Calc" sheetId="6" state="visible" r:id="rId8"/>
    <sheet name="POSP RM-CDM Incentive" sheetId="7" state="visible" r:id="rId9"/>
    <sheet name="Profit Center P&amp;L" sheetId="8" state="visible" r:id="rId10"/>
    <sheet name="Hiring ROI Calculator" sheetId="9" state="visible" r:id="rId11"/>
    <sheet name="GI Margin Reference" sheetId="10" state="visible" r:id="rId12"/>
    <sheet name="Maker-Checker FP Log" sheetId="11" state="visible" r:id="rId13"/>
    <sheet name="Promotion &amp; Career" sheetId="12" state="visible" r:id="rId14"/>
    <sheet name="5-Year Projection" sheetId="13" state="visible" r:id="rId15"/>
    <sheet name="Admin Controls" sheetId="14" state="visible" r:id="rId16"/>
    <sheet name="Terms &amp; Conditions" sheetId="15" state="visible" r:id="rId17"/>
    <sheet name="ESOP &amp; Phantom Stock" sheetId="16" state="visible" r:id="rId18"/>
    <sheet name="Balanced Scorecard" sheetId="17" state="visible" r:id="rId19"/>
    <sheet name="Deferred Bonus" sheetId="18" state="visible" r:id="rId20"/>
    <sheet name="CLV Bonus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<sst xmlns="http://schemas.openxmlformats.org/spreadsheetml/2006/main" count="1902" uniqueCount="1013">
  <si>
    <t xml:space="preserve">SECTION A: PRODUCT TIER CLASSIFICATION</t>
  </si>
  <si>
    <t xml:space="preserve">Product Category</t>
  </si>
  <si>
    <t xml:space="preserve">Commission Range</t>
  </si>
  <si>
    <t xml:space="preserve">Tier</t>
  </si>
  <si>
    <t xml:space="preserve">DST Credit %</t>
  </si>
  <si>
    <t xml:space="preserve">Non-Direct Referral Rate</t>
  </si>
  <si>
    <t xml:space="preserve">Life Regular 10yr+</t>
  </si>
  <si>
    <t xml:space="preserve">&gt;30%</t>
  </si>
  <si>
    <t xml:space="preserve">Tier 1</t>
  </si>
  <si>
    <t xml:space="preserve">Life Regular &lt;10yr</t>
  </si>
  <si>
    <t xml:space="preserve">15-30%</t>
  </si>
  <si>
    <t xml:space="preserve">Tier 2</t>
  </si>
  <si>
    <t xml:space="preserve">Life ULIP</t>
  </si>
  <si>
    <t xml:space="preserve">&lt;15%</t>
  </si>
  <si>
    <t xml:space="preserve">Tier 3</t>
  </si>
  <si>
    <t xml:space="preserve">Life Single Premium</t>
  </si>
  <si>
    <t xml:space="preserve">Health Fresh (Annual)</t>
  </si>
  <si>
    <t xml:space="preserve">Health Port/Renewal</t>
  </si>
  <si>
    <t xml:space="preserve">Health Long-Term 2yr</t>
  </si>
  <si>
    <t xml:space="preserve">Health Long-Term 3yr</t>
  </si>
  <si>
    <t xml:space="preserve">Health Quarterly/HY</t>
  </si>
  <si>
    <t xml:space="preserve">MF SIP (Monthly)</t>
  </si>
  <si>
    <t xml:space="preserve">MF LS Equity</t>
  </si>
  <si>
    <t xml:space="preserve">MF LS Debt</t>
  </si>
  <si>
    <t xml:space="preserve">GI Motor Pvt Car</t>
  </si>
  <si>
    <t xml:space="preserve">GI Motor CV</t>
  </si>
  <si>
    <t xml:space="preserve">GI Motor TP Only</t>
  </si>
  <si>
    <t xml:space="preserve">GI Non-Motor</t>
  </si>
  <si>
    <t xml:space="preserve">GI GMC/GPA</t>
  </si>
  <si>
    <t xml:space="preserve">GI Renewal</t>
  </si>
  <si>
    <t xml:space="preserve">FP Route (any)</t>
  </si>
  <si>
    <t xml:space="preserve">SECTION B: CHANNEL MARGIN RULES</t>
  </si>
  <si>
    <t xml:space="preserve">Channel Type</t>
  </si>
  <si>
    <t xml:space="preserve">Typical Payout to Channel</t>
  </si>
  <si>
    <t xml:space="preserve">Company Margin</t>
  </si>
  <si>
    <t xml:space="preserve">RM Credit Basis</t>
  </si>
  <si>
    <t xml:space="preserve">Target Multiplier Factor</t>
  </si>
  <si>
    <t xml:space="preserve">Direct Sales Team (DST)</t>
  </si>
  <si>
    <t xml:space="preserve">0%</t>
  </si>
  <si>
    <t xml:space="preserve">100%</t>
  </si>
  <si>
    <t xml:space="preserve">Full credit per tier</t>
  </si>
  <si>
    <t xml:space="preserve">1.0x (base)</t>
  </si>
  <si>
    <t xml:space="preserve">POSP Normal (70/30)</t>
  </si>
  <si>
    <t xml:space="preserve">70%</t>
  </si>
  <si>
    <t xml:space="preserve">30%</t>
  </si>
  <si>
    <t xml:space="preserve">30% of tier credit</t>
  </si>
  <si>
    <t xml:space="preserve">1.0x</t>
  </si>
  <si>
    <t xml:space="preserve">POSP Higher Pay (80/20)</t>
  </si>
  <si>
    <t xml:space="preserve">80%</t>
  </si>
  <si>
    <t xml:space="preserve">20%</t>
  </si>
  <si>
    <t xml:space="preserve">20% of tier credit</t>
  </si>
  <si>
    <t xml:space="preserve">1.5x</t>
  </si>
  <si>
    <t xml:space="preserve">POSP Very High (90/10)</t>
  </si>
  <si>
    <t xml:space="preserve">90%</t>
  </si>
  <si>
    <t xml:space="preserve">10%</t>
  </si>
  <si>
    <t xml:space="preserve">10% of tier credit</t>
  </si>
  <si>
    <t xml:space="preserve">3.0x</t>
  </si>
  <si>
    <t xml:space="preserve">POSP Extreme (95/5)</t>
  </si>
  <si>
    <t xml:space="preserve">95%</t>
  </si>
  <si>
    <t xml:space="preserve">5%</t>
  </si>
  <si>
    <t xml:space="preserve">5% of tier credit</t>
  </si>
  <si>
    <t xml:space="preserve">6.0x</t>
  </si>
  <si>
    <t xml:space="preserve">Franchise Sub-broker</t>
  </si>
  <si>
    <t xml:space="preserve">90% of tier credit</t>
  </si>
  <si>
    <t xml:space="preserve">0.33x</t>
  </si>
  <si>
    <t xml:space="preserve">Digital Platform (80%)</t>
  </si>
  <si>
    <t xml:space="preserve">NOTE: Target Multiplier Factor = (30% / Company Margin %). Base is 70/30 ratio. If margin shrinks by 50%, target doubles.</t>
  </si>
  <si>
    <t xml:space="preserve">SECTION C: INCENTIVE SLABS — DST (DIRECT SALES TEAM)</t>
  </si>
  <si>
    <t xml:space="preserve">Achievement %</t>
  </si>
  <si>
    <t xml:space="preserve">Rate %</t>
  </si>
  <si>
    <t xml:space="preserve">Multiplier</t>
  </si>
  <si>
    <t xml:space="preserve">Status</t>
  </si>
  <si>
    <t xml:space="preserve">Below 80%</t>
  </si>
  <si>
    <t xml:space="preserve">No Incentive</t>
  </si>
  <si>
    <t xml:space="preserve">80-100%</t>
  </si>
  <si>
    <t xml:space="preserve">Base</t>
  </si>
  <si>
    <t xml:space="preserve">101-110%</t>
  </si>
  <si>
    <t xml:space="preserve">Standard</t>
  </si>
  <si>
    <t xml:space="preserve">111-130%</t>
  </si>
  <si>
    <t xml:space="preserve">Enhanced</t>
  </si>
  <si>
    <t xml:space="preserve">131-150%</t>
  </si>
  <si>
    <t xml:space="preserve">Super</t>
  </si>
  <si>
    <t xml:space="preserve">151%+</t>
  </si>
  <si>
    <t xml:space="preserve">Champion</t>
  </si>
  <si>
    <t xml:space="preserve">SECTION D: INCENTIVE SLABS — POSP/SUB-BROKER RM (70/30 base)</t>
  </si>
  <si>
    <t xml:space="preserve">NOTE: For margins other than 70/30: Scale slab rates proportionally. If margin = 20% instead of 30%, multiply rates by (20/30).</t>
  </si>
  <si>
    <t xml:space="preserve">SECTION E: NON-DIRECT SALES REFERRAL CREDITS</t>
  </si>
  <si>
    <t xml:space="preserve">Product</t>
  </si>
  <si>
    <t xml:space="preserve">Condition</t>
  </si>
  <si>
    <t xml:space="preserve">Referral Credit %</t>
  </si>
  <si>
    <t xml:space="preserve">Life Insurance</t>
  </si>
  <si>
    <t xml:space="preserve">Premium credit ≥100% for sales team</t>
  </si>
  <si>
    <t xml:space="preserve">Fresh Health Insurance</t>
  </si>
  <si>
    <t xml:space="preserve">New policy</t>
  </si>
  <si>
    <t xml:space="preserve">Health Port/Renewal Business</t>
  </si>
  <si>
    <t xml:space="preserve">Portfolio transfer</t>
  </si>
  <si>
    <t xml:space="preserve">General Insurance</t>
  </si>
  <si>
    <t xml:space="preserve">Based on company earning from product</t>
  </si>
  <si>
    <t xml:space="preserve">5-10</t>
  </si>
  <si>
    <t xml:space="preserve">Tier 1 Products (&gt;30% commission)</t>
  </si>
  <si>
    <t xml:space="preserve">Any</t>
  </si>
  <si>
    <t xml:space="preserve">Tier 2 Products (15-30% commission)</t>
  </si>
  <si>
    <t xml:space="preserve">Tier 3 Products (&lt;15% commission)</t>
  </si>
  <si>
    <t xml:space="preserve">SECTION A: TRAIL CALCULATION PARAMETERS</t>
  </si>
  <si>
    <t xml:space="preserve">Base Trail Rate (Self-Sourced, New PAN)</t>
  </si>
  <si>
    <t xml:space="preserve">Base Trail Rate (Existing Client, Incremental)</t>
  </si>
  <si>
    <t xml:space="preserve">Sub-broker Trail Factor</t>
  </si>
  <si>
    <t xml:space="preserve">Management Share (Self-Sourced)</t>
  </si>
  <si>
    <t xml:space="preserve">Management Share (Assigned + New Biz)</t>
  </si>
  <si>
    <t xml:space="preserve">Management Share (Assigned + No New Biz)</t>
  </si>
  <si>
    <t xml:space="preserve">Management Share (Office/Walk-in)</t>
  </si>
  <si>
    <t xml:space="preserve">SECTION B: INDIVIDUAL TRAIL CALCULATOR</t>
  </si>
  <si>
    <t xml:space="preserve">RM Name</t>
  </si>
  <si>
    <t xml:space="preserve">Starting AUM (₹)</t>
  </si>
  <si>
    <t xml:space="preserve">Current Total AUM (₹)</t>
  </si>
  <si>
    <t xml:space="preserve">Incremental AUM (₹)</t>
  </si>
  <si>
    <t xml:space="preserve">Client Type</t>
  </si>
  <si>
    <t xml:space="preserve">Channel Payout %</t>
  </si>
  <si>
    <t xml:space="preserve">Company Margin %</t>
  </si>
  <si>
    <t xml:space="preserve">Eligible Trail Rate %</t>
  </si>
  <si>
    <t xml:space="preserve">Actual RM Trail %</t>
  </si>
  <si>
    <t xml:space="preserve">Annual Trail Income (₹)</t>
  </si>
  <si>
    <t xml:space="preserve">Monthly Trail Income (₹)</t>
  </si>
  <si>
    <t xml:space="preserve">Mgmt Share %</t>
  </si>
  <si>
    <t xml:space="preserve">Mgmt Trail Income (₹)</t>
  </si>
  <si>
    <t xml:space="preserve">CHANNEL MARGIN CALCULATION &amp; TARGET ADJUSTMENT</t>
  </si>
  <si>
    <t xml:space="preserve">Segment</t>
  </si>
  <si>
    <t xml:space="preserve">Base Salary</t>
  </si>
  <si>
    <t xml:space="preserve">Avg Channel Payout %</t>
  </si>
  <si>
    <t xml:space="preserve">Base Target (DST=6×, POSP=20×)</t>
  </si>
  <si>
    <t xml:space="preserve">Adjusted Monthly Target</t>
  </si>
  <si>
    <t xml:space="preserve">Applicable Slab Table</t>
  </si>
  <si>
    <t xml:space="preserve">Notes</t>
  </si>
  <si>
    <t xml:space="preserve">Balbinder Kaur</t>
  </si>
  <si>
    <t xml:space="preserve">Direct</t>
  </si>
  <si>
    <t xml:space="preserve">Pranab Kumar Barman</t>
  </si>
  <si>
    <t xml:space="preserve">Ajanta Saikia</t>
  </si>
  <si>
    <t xml:space="preserve">Akash Kumar</t>
  </si>
  <si>
    <t xml:space="preserve">Nipa Das</t>
  </si>
  <si>
    <t xml:space="preserve">Jitender Roy</t>
  </si>
  <si>
    <t xml:space="preserve">Rafiqueddin Ahmed</t>
  </si>
  <si>
    <t xml:space="preserve">Pranita Saikia</t>
  </si>
  <si>
    <t xml:space="preserve">Tamanna Kejriwal</t>
  </si>
  <si>
    <t xml:space="preserve">Shivani Kumari</t>
  </si>
  <si>
    <t xml:space="preserve">Rinjima Pathak Das</t>
  </si>
  <si>
    <t xml:space="preserve">Nayanjyoti Handique</t>
  </si>
  <si>
    <t xml:space="preserve">Laxman Sharma</t>
  </si>
  <si>
    <t xml:space="preserve">Mayurakshi Goswami</t>
  </si>
  <si>
    <t xml:space="preserve">Bhola Singh</t>
  </si>
  <si>
    <t xml:space="preserve">Ranjan Jyoti DC</t>
  </si>
  <si>
    <t xml:space="preserve">Pinki Rani Kalita</t>
  </si>
  <si>
    <t xml:space="preserve">Harshita Jalan</t>
  </si>
  <si>
    <t xml:space="preserve">Lucky Pathak</t>
  </si>
  <si>
    <t xml:space="preserve">Raj Das</t>
  </si>
  <si>
    <t xml:space="preserve">Sl No</t>
  </si>
  <si>
    <t xml:space="preserve">Name</t>
  </si>
  <si>
    <t xml:space="preserve">Code</t>
  </si>
  <si>
    <t xml:space="preserve">DOJ</t>
  </si>
  <si>
    <t xml:space="preserve">Designation</t>
  </si>
  <si>
    <t xml:space="preserve">Department</t>
  </si>
  <si>
    <t xml:space="preserve">Job Responsibility</t>
  </si>
  <si>
    <t xml:space="preserve">Gross Salary</t>
  </si>
  <si>
    <t xml:space="preserve">Entity</t>
  </si>
  <si>
    <t xml:space="preserve">Annual CTC</t>
  </si>
  <si>
    <t xml:space="preserve">Tenure Years</t>
  </si>
  <si>
    <t xml:space="preserve">Level Code</t>
  </si>
  <si>
    <t xml:space="preserve">Target Multiplier</t>
  </si>
  <si>
    <t xml:space="preserve">Monthly Target</t>
  </si>
  <si>
    <t xml:space="preserve">Annual Target</t>
  </si>
  <si>
    <t xml:space="preserve">Cost Recovery Min</t>
  </si>
  <si>
    <t xml:space="preserve">Target Notes</t>
  </si>
  <si>
    <t xml:space="preserve">TAS001</t>
  </si>
  <si>
    <t xml:space="preserve">Inhouse Sales Manager</t>
  </si>
  <si>
    <t xml:space="preserve">OPERATION</t>
  </si>
  <si>
    <t xml:space="preserve">SALES</t>
  </si>
  <si>
    <t xml:space="preserve">TAS</t>
  </si>
  <si>
    <t xml:space="preserve">Monthly target = 6× monthly salary</t>
  </si>
  <si>
    <t xml:space="preserve">TAS002</t>
  </si>
  <si>
    <t xml:space="preserve">Office Assistant</t>
  </si>
  <si>
    <t xml:space="preserve">ADMIN</t>
  </si>
  <si>
    <t xml:space="preserve">Support</t>
  </si>
  <si>
    <t xml:space="preserve">No sales target</t>
  </si>
  <si>
    <t xml:space="preserve">TAS003</t>
  </si>
  <si>
    <t xml:space="preserve">Field Force Multiplier</t>
  </si>
  <si>
    <t xml:space="preserve">LIFE</t>
  </si>
  <si>
    <t xml:space="preserve">TIB</t>
  </si>
  <si>
    <t xml:space="preserve">TAS004</t>
  </si>
  <si>
    <t xml:space="preserve">Executive</t>
  </si>
  <si>
    <t xml:space="preserve">HEALTH</t>
  </si>
  <si>
    <t xml:space="preserve">POSP</t>
  </si>
  <si>
    <t xml:space="preserve">Monthly target = 20× monthly salary</t>
  </si>
  <si>
    <t xml:space="preserve">TAS005</t>
  </si>
  <si>
    <t xml:space="preserve">Back Office Executive</t>
  </si>
  <si>
    <t xml:space="preserve">Back Office</t>
  </si>
  <si>
    <t xml:space="preserve">TAS006</t>
  </si>
  <si>
    <t xml:space="preserve">Relationship Manager</t>
  </si>
  <si>
    <t xml:space="preserve">TAS051</t>
  </si>
  <si>
    <t xml:space="preserve">Mentor</t>
  </si>
  <si>
    <t xml:space="preserve">TAS008</t>
  </si>
  <si>
    <t xml:space="preserve">G.I.</t>
  </si>
  <si>
    <t xml:space="preserve">TAS009</t>
  </si>
  <si>
    <t xml:space="preserve">Sales Head</t>
  </si>
  <si>
    <t xml:space="preserve">F.P.</t>
  </si>
  <si>
    <t xml:space="preserve">TAS013</t>
  </si>
  <si>
    <t xml:space="preserve">TAS014</t>
  </si>
  <si>
    <t xml:space="preserve">HR Manager</t>
  </si>
  <si>
    <t xml:space="preserve">HR &amp; ADMIN</t>
  </si>
  <si>
    <t xml:space="preserve">TAS016</t>
  </si>
  <si>
    <t xml:space="preserve">Operation Manager</t>
  </si>
  <si>
    <t xml:space="preserve">Claims</t>
  </si>
  <si>
    <t xml:space="preserve">TAS018</t>
  </si>
  <si>
    <t xml:space="preserve">TAS021</t>
  </si>
  <si>
    <t xml:space="preserve">TAS019</t>
  </si>
  <si>
    <t xml:space="preserve">Area Manager GI</t>
  </si>
  <si>
    <t xml:space="preserve">Area Manager</t>
  </si>
  <si>
    <t xml:space="preserve">Monthly target = 20× (salary+15% variable). 15% added for rent/support staff.</t>
  </si>
  <si>
    <t xml:space="preserve">TAS022</t>
  </si>
  <si>
    <t xml:space="preserve">Account Manager</t>
  </si>
  <si>
    <t xml:space="preserve">ACCOUNTS</t>
  </si>
  <si>
    <t xml:space="preserve">TAS027</t>
  </si>
  <si>
    <t xml:space="preserve">TAS032</t>
  </si>
  <si>
    <t xml:space="preserve">TAS034</t>
  </si>
  <si>
    <t xml:space="preserve">TAS031</t>
  </si>
  <si>
    <t xml:space="preserve">Financial Planner Officer</t>
  </si>
  <si>
    <t xml:space="preserve">DEMAT</t>
  </si>
  <si>
    <t xml:space="preserve">Vinita Kabra</t>
  </si>
  <si>
    <t xml:space="preserve">TAS030</t>
  </si>
  <si>
    <t xml:space="preserve">Sudeep Kashyap</t>
  </si>
  <si>
    <t xml:space="preserve">TAS037</t>
  </si>
  <si>
    <t xml:space="preserve">Digital Marketing Exec</t>
  </si>
  <si>
    <t xml:space="preserve">DIGITAL &amp; IT</t>
  </si>
  <si>
    <t xml:space="preserve">Jasmine Jain</t>
  </si>
  <si>
    <t xml:space="preserve">TAS040</t>
  </si>
  <si>
    <t xml:space="preserve">RM &amp; Trainer</t>
  </si>
  <si>
    <t xml:space="preserve">Hira Shrestha</t>
  </si>
  <si>
    <t xml:space="preserve">TAS047</t>
  </si>
  <si>
    <t xml:space="preserve">Nisha Koirala</t>
  </si>
  <si>
    <t xml:space="preserve">TAS048</t>
  </si>
  <si>
    <t xml:space="preserve">Preeti Nag</t>
  </si>
  <si>
    <t xml:space="preserve">TAS050</t>
  </si>
  <si>
    <t xml:space="preserve">Designer &amp; Video Editor</t>
  </si>
  <si>
    <t xml:space="preserve">Jinu Lagachu</t>
  </si>
  <si>
    <t xml:space="preserve">TAS052</t>
  </si>
  <si>
    <t xml:space="preserve">Khushbu Chhajer</t>
  </si>
  <si>
    <t xml:space="preserve">TAS054</t>
  </si>
  <si>
    <t xml:space="preserve">Sales Manager</t>
  </si>
  <si>
    <t xml:space="preserve">Aruna Deka</t>
  </si>
  <si>
    <t xml:space="preserve">TAS055</t>
  </si>
  <si>
    <t xml:space="preserve">Dipankar Das</t>
  </si>
  <si>
    <t xml:space="preserve">TAS058</t>
  </si>
  <si>
    <t xml:space="preserve">Outbound Team Leader</t>
  </si>
  <si>
    <t xml:space="preserve">Sweety Sarania</t>
  </si>
  <si>
    <t xml:space="preserve">TAS061</t>
  </si>
  <si>
    <t xml:space="preserve">Tanima Das</t>
  </si>
  <si>
    <t xml:space="preserve">TAS059</t>
  </si>
  <si>
    <t xml:space="preserve">Tele Calling Executive</t>
  </si>
  <si>
    <t xml:space="preserve">Mrinmoy Choudhury</t>
  </si>
  <si>
    <t xml:space="preserve">TAS063</t>
  </si>
  <si>
    <t xml:space="preserve">Regional Team Expansion Mgr</t>
  </si>
  <si>
    <t xml:space="preserve">Jumma Ara Begum</t>
  </si>
  <si>
    <t xml:space="preserve">TAS064</t>
  </si>
  <si>
    <t xml:space="preserve">Senior HR Executive</t>
  </si>
  <si>
    <t xml:space="preserve">Banshika Agarwal</t>
  </si>
  <si>
    <t xml:space="preserve">TAS067</t>
  </si>
  <si>
    <t xml:space="preserve">Wasbir Ahmed</t>
  </si>
  <si>
    <t xml:space="preserve">TAS068</t>
  </si>
  <si>
    <t xml:space="preserve">Ops &amp; CS Manager</t>
  </si>
  <si>
    <t xml:space="preserve">Ajay Singh</t>
  </si>
  <si>
    <t xml:space="preserve">TAS077</t>
  </si>
  <si>
    <t xml:space="preserve">MIS &amp; POS Handling</t>
  </si>
  <si>
    <t xml:space="preserve">MIS</t>
  </si>
  <si>
    <t xml:space="preserve">Banajit Bezbaruah</t>
  </si>
  <si>
    <t xml:space="preserve">TAS074</t>
  </si>
  <si>
    <t xml:space="preserve">Asst. Manager</t>
  </si>
  <si>
    <t xml:space="preserve">Kshetrimayam AK Singh</t>
  </si>
  <si>
    <t xml:space="preserve">TAS083</t>
  </si>
  <si>
    <t xml:space="preserve">Ass. Branch Manager</t>
  </si>
  <si>
    <t xml:space="preserve">Shoibam Nara Singh</t>
  </si>
  <si>
    <t xml:space="preserve">TAS084</t>
  </si>
  <si>
    <t xml:space="preserve">Tasdiq Ahmed</t>
  </si>
  <si>
    <t xml:space="preserve">TAS081</t>
  </si>
  <si>
    <t xml:space="preserve">Hemanta Saharia</t>
  </si>
  <si>
    <t xml:space="preserve">TAS086</t>
  </si>
  <si>
    <t xml:space="preserve">Channel Development Mgr</t>
  </si>
  <si>
    <t xml:space="preserve">Juntara Patir</t>
  </si>
  <si>
    <t xml:space="preserve">TAS087</t>
  </si>
  <si>
    <t xml:space="preserve">Intern</t>
  </si>
  <si>
    <t xml:space="preserve">Naushad Hussain</t>
  </si>
  <si>
    <t xml:space="preserve">TAS089</t>
  </si>
  <si>
    <t xml:space="preserve">Partha Deb Barman</t>
  </si>
  <si>
    <t xml:space="preserve">TAS092</t>
  </si>
  <si>
    <t xml:space="preserve">Regional Manager</t>
  </si>
  <si>
    <t xml:space="preserve">Purnananda Pathak</t>
  </si>
  <si>
    <t xml:space="preserve">TAS090</t>
  </si>
  <si>
    <t xml:space="preserve">Accounts Executive</t>
  </si>
  <si>
    <t xml:space="preserve">Hirakjyoti Das</t>
  </si>
  <si>
    <t xml:space="preserve">TAS093</t>
  </si>
  <si>
    <t xml:space="preserve">Sr. Executive MIS</t>
  </si>
  <si>
    <t xml:space="preserve">Abir Das</t>
  </si>
  <si>
    <t xml:space="preserve">-</t>
  </si>
  <si>
    <t xml:space="preserve">CDO</t>
  </si>
  <si>
    <t xml:space="preserve">Senior Mgmt</t>
  </si>
  <si>
    <t xml:space="preserve">Profit Center model</t>
  </si>
  <si>
    <t xml:space="preserve">Karismita Deka</t>
  </si>
  <si>
    <t xml:space="preserve">TAS095</t>
  </si>
  <si>
    <t xml:space="preserve">Client Mgmt Executive</t>
  </si>
  <si>
    <t xml:space="preserve">Sudarshana Gupta</t>
  </si>
  <si>
    <t xml:space="preserve">TAS094</t>
  </si>
  <si>
    <t xml:space="preserve">Anikendu Indra</t>
  </si>
  <si>
    <t xml:space="preserve">TAS099</t>
  </si>
  <si>
    <t xml:space="preserve">Ashis Das</t>
  </si>
  <si>
    <t xml:space="preserve">TAS098</t>
  </si>
  <si>
    <t xml:space="preserve">Indranil Roy</t>
  </si>
  <si>
    <t xml:space="preserve">TAS102</t>
  </si>
  <si>
    <t xml:space="preserve">Leena Das</t>
  </si>
  <si>
    <t xml:space="preserve">TAS100</t>
  </si>
  <si>
    <t xml:space="preserve">Mousam Majumdar</t>
  </si>
  <si>
    <t xml:space="preserve">TAS096</t>
  </si>
  <si>
    <t xml:space="preserve">Shakeeb Aamer</t>
  </si>
  <si>
    <t xml:space="preserve">TAS104</t>
  </si>
  <si>
    <t xml:space="preserve">Sukanta Das</t>
  </si>
  <si>
    <t xml:space="preserve">TAS101</t>
  </si>
  <si>
    <t xml:space="preserve">Kabita Goswami</t>
  </si>
  <si>
    <t xml:space="preserve">TAS105</t>
  </si>
  <si>
    <t xml:space="preserve">Housekeeping (Vendor)</t>
  </si>
  <si>
    <t xml:space="preserve">Outsourced</t>
  </si>
  <si>
    <t xml:space="preserve">Vendor</t>
  </si>
  <si>
    <t xml:space="preserve">Security (Vendor)</t>
  </si>
  <si>
    <t xml:space="preserve">Office Boy (Vendor)</t>
  </si>
  <si>
    <t xml:space="preserve">SECTION A: MUTUAL FUND CREDITS</t>
  </si>
  <si>
    <t xml:space="preserve">Credit %</t>
  </si>
  <si>
    <t xml:space="preserve">MF SIP (Monthly Business)</t>
  </si>
  <si>
    <t xml:space="preserve">100% of that month's SIP collection only. NO annualization. Clawback if SIP stopped/redeemed.</t>
  </si>
  <si>
    <t xml:space="preserve">RETENTION RULE</t>
  </si>
  <si>
    <t xml:space="preserve">MF Lumpsum - Equity</t>
  </si>
  <si>
    <t xml:space="preserve">Low margin on lumpsum equity</t>
  </si>
  <si>
    <t xml:space="preserve">MF Lumpsum - Long Term Debt</t>
  </si>
  <si>
    <t xml:space="preserve">Medium-term debt funds</t>
  </si>
  <si>
    <t xml:space="preserve">MF Lumpsum - Short Term Debt</t>
  </si>
  <si>
    <t xml:space="preserve">Low-margin liquid/ultra-short</t>
  </si>
  <si>
    <t xml:space="preserve">MF Debt→Equity via STP Route</t>
  </si>
  <si>
    <t xml:space="preserve">Same as equity LS since converting</t>
  </si>
  <si>
    <t xml:space="preserve">FP Route Client SIP</t>
  </si>
  <si>
    <t xml:space="preserve">BONUS: Full FP done + investment data</t>
  </si>
  <si>
    <t xml:space="preserve">FP Route Client Health</t>
  </si>
  <si>
    <t xml:space="preserve">BONUS: FP validation required</t>
  </si>
  <si>
    <t xml:space="preserve">FP Route Client Term Life</t>
  </si>
  <si>
    <t xml:space="preserve">POSP Business (Normal Grade)</t>
  </si>
  <si>
    <t xml:space="preserve">Standard POSP credit</t>
  </si>
  <si>
    <t xml:space="preserve">POSP Business (Higher Pay Grade)</t>
  </si>
  <si>
    <t xml:space="preserve">Lower % proportionate to POSP payout</t>
  </si>
  <si>
    <t xml:space="preserve">Franchise Business</t>
  </si>
  <si>
    <t xml:space="preserve">Lower margin franchise model</t>
  </si>
  <si>
    <t xml:space="preserve">Directors' Business Credit</t>
  </si>
  <si>
    <t xml:space="preserve">Business from Ram/Sangita Shah</t>
  </si>
  <si>
    <t xml:space="preserve">NOTE: FP Route 125% requires (1) Complete FP data (2) Maker-Checker verification</t>
  </si>
  <si>
    <t xml:space="preserve">SIP CLAWBACK: If any SIP is stopped or redeemed, the amount gets DEBITED from that month's business credit.</t>
  </si>
  <si>
    <t xml:space="preserve">Anti-misselling &amp; retention tool. Discourages start-stop behavior.</t>
  </si>
  <si>
    <t xml:space="preserve">SECTION B: LIFE INSURANCE CREDITS</t>
  </si>
  <si>
    <t xml:space="preserve">Life - Regular Pay 10 Years+</t>
  </si>
  <si>
    <t xml:space="preserve">Life - Regular Pay Below 10 Years</t>
  </si>
  <si>
    <t xml:space="preserve">Life - ULIP Regular Pay</t>
  </si>
  <si>
    <t xml:space="preserve">Life - Single Premium</t>
  </si>
  <si>
    <t xml:space="preserve">SECTION C: HEALTH INSURANCE CREDITS</t>
  </si>
  <si>
    <t xml:space="preserve">SECTION G: INCENTIVE SLABS — DIRECT SALES TEAM (DST)</t>
  </si>
  <si>
    <t xml:space="preserve">Formula</t>
  </si>
  <si>
    <t xml:space="preserve">Category</t>
  </si>
  <si>
    <t xml:space="preserve">Sub-Category</t>
  </si>
  <si>
    <t xml:space="preserve">SECTION H: INCENTIVE SLABS — POSP/SUB-BROKER RM (70/30 base)</t>
  </si>
  <si>
    <t xml:space="preserve">Pvt Car</t>
  </si>
  <si>
    <t xml:space="preserve">Grid-Based</t>
  </si>
  <si>
    <t xml:space="preserve">Varies by insurer grid</t>
  </si>
  <si>
    <t xml:space="preserve">NOTE: For margins other than 30%: Scale slab rates by (actual margin/30%). If margin = 20%, multiply DST rates by 20/30.</t>
  </si>
  <si>
    <t xml:space="preserve">Liability</t>
  </si>
  <si>
    <t xml:space="preserve">GMC/GPA</t>
  </si>
  <si>
    <t xml:space="preserve">Corporate</t>
  </si>
  <si>
    <t xml:space="preserve">High volume, thin margin</t>
  </si>
  <si>
    <t xml:space="preserve">All Products</t>
  </si>
  <si>
    <t xml:space="preserve">One-third credit for retention</t>
  </si>
  <si>
    <t xml:space="preserve">Motor OD/TP splits captured from insurer GRIDs (Shriram, Tata, ICICI, SBI)</t>
  </si>
  <si>
    <t xml:space="preserve">TP Only PSU = Non-preferred (not counted for POSP activation)</t>
  </si>
  <si>
    <t xml:space="preserve">SECTION E: POSP/SUB-BROKER CREDIT RULES FOR RM/CDM</t>
  </si>
  <si>
    <t xml:space="preserve">Scenario</t>
  </si>
  <si>
    <t xml:space="preserve">Credit</t>
  </si>
  <si>
    <t xml:space="preserve">RM/CDM Self Business (own sourced)</t>
  </si>
  <si>
    <t xml:space="preserve">300%</t>
  </si>
  <si>
    <t xml:space="preserve">POSP Normal Grade Business</t>
  </si>
  <si>
    <t xml:space="preserve">POSP Higher Pay Grade Business</t>
  </si>
  <si>
    <t xml:space="preserve">Proportionately less</t>
  </si>
  <si>
    <t xml:space="preserve">15%</t>
  </si>
  <si>
    <t xml:space="preserve">Renewal Retention Requirement</t>
  </si>
  <si>
    <t xml:space="preserve">&gt;80% to earn incentives</t>
  </si>
  <si>
    <t xml:space="preserve">SECTION F: TRAIL SHARING RATES</t>
  </si>
  <si>
    <t xml:space="preserve">Source Type</t>
  </si>
  <si>
    <t xml:space="preserve">RM Share %</t>
  </si>
  <si>
    <t xml:space="preserve">Management Share %</t>
  </si>
  <si>
    <t xml:space="preserve">Company Share %</t>
  </si>
  <si>
    <t xml:space="preserve">Self-Sourced</t>
  </si>
  <si>
    <t xml:space="preserve">Assigned + New Business</t>
  </si>
  <si>
    <t xml:space="preserve">Assigned + No New Business</t>
  </si>
  <si>
    <t xml:space="preserve">Office/Walk-in</t>
  </si>
  <si>
    <t xml:space="preserve">SECTION G: INCENTIVE ACCELERATOR SLABS</t>
  </si>
  <si>
    <t xml:space="preserve">150%+</t>
  </si>
  <si>
    <t xml:space="preserve">Salary</t>
  </si>
  <si>
    <t xml:space="preserve">Month</t>
  </si>
  <si>
    <t xml:space="preserve">Life Ins New Biz</t>
  </si>
  <si>
    <t xml:space="preserve">Health Ins New Biz</t>
  </si>
  <si>
    <t xml:space="preserve">Health Pay Type</t>
  </si>
  <si>
    <t xml:space="preserve">MF SIP Monthly</t>
  </si>
  <si>
    <t xml:space="preserve">MF LS LT Debt</t>
  </si>
  <si>
    <t xml:space="preserve">MF LS ST Debt</t>
  </si>
  <si>
    <t xml:space="preserve">MF STP Debt→Equity</t>
  </si>
  <si>
    <t xml:space="preserve">POSP Channel Biz</t>
  </si>
  <si>
    <t xml:space="preserve">Franchise Biz</t>
  </si>
  <si>
    <t xml:space="preserve">FP Route?</t>
  </si>
  <si>
    <t xml:space="preserve">Renewal Retention %</t>
  </si>
  <si>
    <t xml:space="preserve">Weighted Business</t>
  </si>
  <si>
    <t xml:space="preserve">Slab</t>
  </si>
  <si>
    <t xml:space="preserve">Incentive Rate</t>
  </si>
  <si>
    <t xml:space="preserve">Incentive Amount</t>
  </si>
  <si>
    <t xml:space="preserve">Total Earning</t>
  </si>
  <si>
    <t xml:space="preserve">Cost Justified</t>
  </si>
  <si>
    <t xml:space="preserve">Performance Status</t>
  </si>
  <si>
    <t xml:space="preserve">SIP Clawback Debit</t>
  </si>
  <si>
    <t xml:space="preserve">Motor Biz Slab Rate</t>
  </si>
  <si>
    <t xml:space="preserve">Margin Credit Factor</t>
  </si>
  <si>
    <t xml:space="preserve">Applicable Slab</t>
  </si>
  <si>
    <t xml:space="preserve">SECTION A: POSP RECRUITMENT INCENTIVE (Quarterly)</t>
  </si>
  <si>
    <t xml:space="preserve">POSPs Recruited in Quarter</t>
  </si>
  <si>
    <t xml:space="preserve">Per POSP Bonus</t>
  </si>
  <si>
    <t xml:space="preserve">20+</t>
  </si>
  <si>
    <t xml:space="preserve">SECTION B: POSP ACTIVATION INCENTIVE (Grade A = min Rs. 20K business)</t>
  </si>
  <si>
    <t xml:space="preserve">Active POSPs (Grade A)</t>
  </si>
  <si>
    <t xml:space="preserve">NOTE: Active POSP = minimum Rs. 20,000 business. Motor TP-Only from PSU not counted.</t>
  </si>
  <si>
    <t xml:space="preserve">SECTION C: POSP INCENTIVE CALCULATOR</t>
  </si>
  <si>
    <t xml:space="preserve">RM/CDM Name</t>
  </si>
  <si>
    <t xml:space="preserve">Role</t>
  </si>
  <si>
    <t xml:space="preserve">POSPs Recruited This Qtr</t>
  </si>
  <si>
    <t xml:space="preserve">Recruitment Bonus</t>
  </si>
  <si>
    <t xml:space="preserve">Active POSPs This Qtr</t>
  </si>
  <si>
    <t xml:space="preserve">Activation Bonus</t>
  </si>
  <si>
    <t xml:space="preserve">Self-Business</t>
  </si>
  <si>
    <t xml:space="preserve">Total Weighted Biz</t>
  </si>
  <si>
    <t xml:space="preserve">Eligible for Incentive</t>
  </si>
  <si>
    <t xml:space="preserve">Quarterly POSP Incentive</t>
  </si>
  <si>
    <t xml:space="preserve">SECTION D: PROMOTION CRITERIA</t>
  </si>
  <si>
    <t xml:space="preserve">Level</t>
  </si>
  <si>
    <t xml:space="preserve">Rating</t>
  </si>
  <si>
    <t xml:space="preserve">Annual Target (Lakhs)</t>
  </si>
  <si>
    <t xml:space="preserve">NLA/New POSPs</t>
  </si>
  <si>
    <t xml:space="preserve">Active POSPs</t>
  </si>
  <si>
    <t xml:space="preserve">Promotion</t>
  </si>
  <si>
    <t xml:space="preserve">RM</t>
  </si>
  <si>
    <t xml:space="preserve">A</t>
  </si>
  <si>
    <t xml:space="preserve">Double Promotion</t>
  </si>
  <si>
    <t xml:space="preserve">B</t>
  </si>
  <si>
    <t xml:space="preserve">Single Promotion</t>
  </si>
  <si>
    <t xml:space="preserve">C</t>
  </si>
  <si>
    <t xml:space="preserve">No Promotion</t>
  </si>
  <si>
    <t xml:space="preserve">D</t>
  </si>
  <si>
    <t xml:space="preserve">Below C</t>
  </si>
  <si>
    <t xml:space="preserve">Under Performance</t>
  </si>
  <si>
    <t xml:space="preserve">CDM</t>
  </si>
  <si>
    <t xml:space="preserve">SECTION E: PERFORMANCE ALLOWANCE (Monthly)</t>
  </si>
  <si>
    <t xml:space="preserve">Target Achievement</t>
  </si>
  <si>
    <t xml:space="preserve">Monthly Allowance</t>
  </si>
  <si>
    <t xml:space="preserve">Excellent</t>
  </si>
  <si>
    <t xml:space="preserve">130%+</t>
  </si>
  <si>
    <t xml:space="preserve">Average</t>
  </si>
  <si>
    <t xml:space="preserve">&lt;80%</t>
  </si>
  <si>
    <t xml:space="preserve">Vertical</t>
  </si>
  <si>
    <t xml:space="preserve">Gross Revenue (Prem)</t>
  </si>
  <si>
    <t xml:space="preserve">Commission Earned</t>
  </si>
  <si>
    <t xml:space="preserve">Credit Against Target</t>
  </si>
  <si>
    <t xml:space="preserve">Incentive Paid</t>
  </si>
  <si>
    <t xml:space="preserve">Net Profit</t>
  </si>
  <si>
    <t xml:space="preserve">Team Size</t>
  </si>
  <si>
    <t xml:space="preserve">Revenue per Capita</t>
  </si>
  <si>
    <t xml:space="preserve">Profit per Capita</t>
  </si>
  <si>
    <t xml:space="preserve">% Contribution</t>
  </si>
  <si>
    <t xml:space="preserve">TOTAL</t>
  </si>
  <si>
    <t xml:space="preserve">HIRING ROI CALCULATOR</t>
  </si>
  <si>
    <t xml:space="preserve">Scenario 1: Average Sales RM</t>
  </si>
  <si>
    <t xml:space="preserve">Month 1</t>
  </si>
  <si>
    <t xml:space="preserve">Month 2-3 (avg)</t>
  </si>
  <si>
    <t xml:space="preserve">Month 4-6 (avg)</t>
  </si>
  <si>
    <t xml:space="preserve">Year 2</t>
  </si>
  <si>
    <t xml:space="preserve">Break-even (months)</t>
  </si>
  <si>
    <t xml:space="preserve">3-4</t>
  </si>
  <si>
    <t xml:space="preserve">Year 1 ROI</t>
  </si>
  <si>
    <t xml:space="preserve">45%</t>
  </si>
  <si>
    <t xml:space="preserve">Scenario 2: High Performer RM</t>
  </si>
  <si>
    <t xml:space="preserve">Scenario 3: Kolkata Expansion</t>
  </si>
  <si>
    <t xml:space="preserve">Insurer</t>
  </si>
  <si>
    <t xml:space="preserve">Discount %</t>
  </si>
  <si>
    <t xml:space="preserve">Payout %</t>
  </si>
  <si>
    <t xml:space="preserve">Net Margin %</t>
  </si>
  <si>
    <t xml:space="preserve">Policy Type</t>
  </si>
  <si>
    <t xml:space="preserve">Preferred</t>
  </si>
  <si>
    <t xml:space="preserve">Shriram</t>
  </si>
  <si>
    <t xml:space="preserve">Private Car Petrol</t>
  </si>
  <si>
    <t xml:space="preserve">OD+TP</t>
  </si>
  <si>
    <t xml:space="preserve">Yes</t>
  </si>
  <si>
    <t xml:space="preserve">GCCV LCV</t>
  </si>
  <si>
    <t xml:space="preserve">Two Wheeler</t>
  </si>
  <si>
    <t xml:space="preserve">TP Only</t>
  </si>
  <si>
    <t xml:space="preserve">TP</t>
  </si>
  <si>
    <t xml:space="preserve">No</t>
  </si>
  <si>
    <t xml:space="preserve">TATA AIG</t>
  </si>
  <si>
    <t xml:space="preserve">Private Car</t>
  </si>
  <si>
    <t xml:space="preserve">CV</t>
  </si>
  <si>
    <t xml:space="preserve">ICICI Lombard</t>
  </si>
  <si>
    <t xml:space="preserve">SBI General</t>
  </si>
  <si>
    <t xml:space="preserve">Bajaj Allianz</t>
  </si>
  <si>
    <t xml:space="preserve">Fire</t>
  </si>
  <si>
    <t xml:space="preserve">HDFC ERGO</t>
  </si>
  <si>
    <t xml:space="preserve">Engineering</t>
  </si>
  <si>
    <t xml:space="preserve">Engg</t>
  </si>
  <si>
    <t xml:space="preserve">Royal Sundaram</t>
  </si>
  <si>
    <t xml:space="preserve">Axis Bank</t>
  </si>
  <si>
    <t xml:space="preserve">Health Group</t>
  </si>
  <si>
    <t xml:space="preserve">GMC</t>
  </si>
  <si>
    <t xml:space="preserve">Date</t>
  </si>
  <si>
    <t xml:space="preserve">Client Name</t>
  </si>
  <si>
    <t xml:space="preserve">FP Data Complete?</t>
  </si>
  <si>
    <t xml:space="preserve">Investment Details?</t>
  </si>
  <si>
    <t xml:space="preserve">Risk Profile Done?</t>
  </si>
  <si>
    <t xml:space="preserve">Goal Planning Done?</t>
  </si>
  <si>
    <t xml:space="preserve">Reporting Manager</t>
  </si>
  <si>
    <t xml:space="preserve">Manager Verification</t>
  </si>
  <si>
    <t xml:space="preserve">Verification Date</t>
  </si>
  <si>
    <t xml:space="preserve">125% Credit Eligible?</t>
  </si>
  <si>
    <t xml:space="preserve">Remarks</t>
  </si>
  <si>
    <t xml:space="preserve">Raj Kummar</t>
  </si>
  <si>
    <t xml:space="preserve">2026-03-01</t>
  </si>
  <si>
    <t xml:space="preserve">Verified</t>
  </si>
  <si>
    <t xml:space="preserve">Priya Sharma</t>
  </si>
  <si>
    <t xml:space="preserve">2026-03-05</t>
  </si>
  <si>
    <t xml:space="preserve">Pending</t>
  </si>
  <si>
    <t xml:space="preserve">Arjun Mehta</t>
  </si>
  <si>
    <t xml:space="preserve">2026-03-08</t>
  </si>
  <si>
    <t xml:space="preserve">Sneha Das</t>
  </si>
  <si>
    <t xml:space="preserve">2026-03-12</t>
  </si>
  <si>
    <t xml:space="preserve">Partial</t>
  </si>
  <si>
    <t xml:space="preserve">Rejected</t>
  </si>
  <si>
    <t xml:space="preserve">Ravi Singh</t>
  </si>
  <si>
    <t xml:space="preserve">2026-03-15</t>
  </si>
  <si>
    <t xml:space="preserve">CAREER PROGRESSION LADDER</t>
  </si>
  <si>
    <t xml:space="preserve">Criteria</t>
  </si>
  <si>
    <t xml:space="preserve">CTC Range</t>
  </si>
  <si>
    <t xml:space="preserve">Typical Progression</t>
  </si>
  <si>
    <t xml:space="preserve">Key Responsibility</t>
  </si>
  <si>
    <t xml:space="preserve">Fresh graduate</t>
  </si>
  <si>
    <t xml:space="preserve">0-3 months</t>
  </si>
  <si>
    <t xml:space="preserve">Training &amp; Mentoring</t>
  </si>
  <si>
    <t xml:space="preserve">Sales Executive</t>
  </si>
  <si>
    <t xml:space="preserve">3-6 months</t>
  </si>
  <si>
    <t xml:space="preserve">Market Exposure</t>
  </si>
  <si>
    <t xml:space="preserve">Senior Executive</t>
  </si>
  <si>
    <t xml:space="preserve">Proven Sales Track</t>
  </si>
  <si>
    <t xml:space="preserve">1-2 years</t>
  </si>
  <si>
    <t xml:space="preserve">Client Management</t>
  </si>
  <si>
    <t xml:space="preserve">Consistent High Performer</t>
  </si>
  <si>
    <t xml:space="preserve">2-4 years</t>
  </si>
  <si>
    <t xml:space="preserve">Portfolio Building</t>
  </si>
  <si>
    <t xml:space="preserve">Excellent Track Record</t>
  </si>
  <si>
    <t xml:space="preserve">4-6 years</t>
  </si>
  <si>
    <t xml:space="preserve">Team Leadership</t>
  </si>
  <si>
    <t xml:space="preserve">Branch Manager</t>
  </si>
  <si>
    <t xml:space="preserve">Strategic Leadership</t>
  </si>
  <si>
    <t xml:space="preserve">6+ years</t>
  </si>
  <si>
    <t xml:space="preserve">Branch P&amp;L</t>
  </si>
  <si>
    <t xml:space="preserve">Multi-branch Leadership</t>
  </si>
  <si>
    <t xml:space="preserve">8+ years</t>
  </si>
  <si>
    <t xml:space="preserve">Regional Growth</t>
  </si>
  <si>
    <t xml:space="preserve">Senior Regional Manager</t>
  </si>
  <si>
    <t xml:space="preserve">10+ years</t>
  </si>
  <si>
    <t xml:space="preserve">Network Expansion</t>
  </si>
  <si>
    <t xml:space="preserve">CDM (Channel Dev Mgr)</t>
  </si>
  <si>
    <t xml:space="preserve">POSP Network Building</t>
  </si>
  <si>
    <t xml:space="preserve">Specialized Track</t>
  </si>
  <si>
    <t xml:space="preserve">Franchise Development</t>
  </si>
  <si>
    <t xml:space="preserve">Metric</t>
  </si>
  <si>
    <t xml:space="preserve">FY27</t>
  </si>
  <si>
    <t xml:space="preserve">FY28</t>
  </si>
  <si>
    <t xml:space="preserve">FY29</t>
  </si>
  <si>
    <t xml:space="preserve">FY30</t>
  </si>
  <si>
    <t xml:space="preserve">FY31</t>
  </si>
  <si>
    <t xml:space="preserve">CAGR %</t>
  </si>
  <si>
    <t xml:space="preserve">Gross Premium Income (Cr)</t>
  </si>
  <si>
    <t xml:space="preserve">Target: 30%+ ROI</t>
  </si>
  <si>
    <t xml:space="preserve">Expansion target</t>
  </si>
  <si>
    <t xml:space="preserve">Revenue per Capita (Lakhs)</t>
  </si>
  <si>
    <t xml:space="preserve">Productivity target</t>
  </si>
  <si>
    <t xml:space="preserve">Profit Before Incentive (Cr)</t>
  </si>
  <si>
    <t xml:space="preserve">45% margin target</t>
  </si>
  <si>
    <t xml:space="preserve">Incentive Payout % of Gross</t>
  </si>
  <si>
    <t xml:space="preserve">Efficiency improvement</t>
  </si>
  <si>
    <t xml:space="preserve">ADMIN CONTROLS &amp; ACCESS MATRIX</t>
  </si>
  <si>
    <t xml:space="preserve">USER ROLE</t>
  </si>
  <si>
    <t xml:space="preserve">VIEW ACCESS</t>
  </si>
  <si>
    <t xml:space="preserve">EDIT ACCESS</t>
  </si>
  <si>
    <t xml:space="preserve">APPROVAL RIGHTS</t>
  </si>
  <si>
    <t xml:space="preserve">Admin</t>
  </si>
  <si>
    <t xml:space="preserve">All Sheets</t>
  </si>
  <si>
    <t xml:space="preserve">All Changes</t>
  </si>
  <si>
    <t xml:space="preserve">Finance</t>
  </si>
  <si>
    <t xml:space="preserve">P&amp;L, Incentive, Trail</t>
  </si>
  <si>
    <t xml:space="preserve">P&amp;L, Salary</t>
  </si>
  <si>
    <t xml:space="preserve">Employee Master, Promo</t>
  </si>
  <si>
    <t xml:space="preserve">Employee Master</t>
  </si>
  <si>
    <t xml:space="preserve">Monthly Incentive, Trail</t>
  </si>
  <si>
    <t xml:space="preserve">Own Department</t>
  </si>
  <si>
    <t xml:space="preserve">Own Team</t>
  </si>
  <si>
    <t xml:space="preserve">Own Performance, Trail</t>
  </si>
  <si>
    <t xml:space="preserve">Own Inputs</t>
  </si>
  <si>
    <t xml:space="preserve">HR</t>
  </si>
  <si>
    <t xml:space="preserve">All Employee Data</t>
  </si>
  <si>
    <t xml:space="preserve">AUDIT LOG TEMPLATE</t>
  </si>
  <si>
    <t xml:space="preserve">User</t>
  </si>
  <si>
    <t xml:space="preserve">Sheet</t>
  </si>
  <si>
    <t xml:space="preserve">Cell Reference</t>
  </si>
  <si>
    <t xml:space="preserve">Old Value</t>
  </si>
  <si>
    <t xml:space="preserve">New Value</t>
  </si>
  <si>
    <t xml:space="preserve">Reason</t>
  </si>
  <si>
    <t xml:space="preserve">TRUSTNER GROUP - INCENTIVE FRAMEWORK TERMS &amp; CONDITIONS</t>
  </si>
  <si>
    <t xml:space="preserve">SECTION 1: TARGET STRUCTURE</t>
  </si>
  <si>
    <t xml:space="preserve">Target Formula</t>
  </si>
  <si>
    <t xml:space="preserve">Direct Sales / FP Team</t>
  </si>
  <si>
    <t xml:space="preserve">6× Monthly Salary (Monthly Target)</t>
  </si>
  <si>
    <t xml:space="preserve">Monthly target = Salary × 6</t>
  </si>
  <si>
    <t xml:space="preserve">CDM / RM handling POSP</t>
  </si>
  <si>
    <t xml:space="preserve">20× Monthly Salary (Monthly Target)</t>
  </si>
  <si>
    <t xml:space="preserve">Higher target - POSP channel volume required for profitability</t>
  </si>
  <si>
    <t xml:space="preserve">Area Managers</t>
  </si>
  <si>
    <t xml:space="preserve">20× (Salary + 15% Variable) Monthly</t>
  </si>
  <si>
    <t xml:space="preserve">15% added as proxy for office rent, support staff where actuals unavailable</t>
  </si>
  <si>
    <t xml:space="preserve">HO/RO Shared Facility</t>
  </si>
  <si>
    <t xml:space="preserve">+15% of total cost as variable expenses</t>
  </si>
  <si>
    <t xml:space="preserve">Applied to Area Managers &amp; above where rental/support details not available</t>
  </si>
  <si>
    <t xml:space="preserve">POSP with Higher Payouts</t>
  </si>
  <si>
    <t xml:space="preserve">Target adjusted upward proportionately</t>
  </si>
  <si>
    <t xml:space="preserve">If POSP payout is higher, target increases to maintain profitability</t>
  </si>
  <si>
    <t xml:space="preserve">Support / Back Office</t>
  </si>
  <si>
    <t xml:space="preserve">Eligible for support bonus based on department performance</t>
  </si>
  <si>
    <t xml:space="preserve">SECTION 2: MF SIP CREDIT &amp; CLAWBACK</t>
  </si>
  <si>
    <t xml:space="preserve">Rule</t>
  </si>
  <si>
    <t xml:space="preserve">Detail</t>
  </si>
  <si>
    <t xml:space="preserve">SECTION 8: PRODUCT TIER SYSTEM</t>
  </si>
  <si>
    <t xml:space="preserve">100% of that month's SIP business ONLY</t>
  </si>
  <si>
    <t xml:space="preserve">No annualization (not Monthly × 12)</t>
  </si>
  <si>
    <t xml:space="preserve">• Tier 1 (&gt;30% commission): 100% credit for DST, proportionate for channel</t>
  </si>
  <si>
    <t xml:space="preserve">Company earns ~0.5% trail on MF = ~₹500 on ₹10K SIP. After GST &amp; expenses, margin is thin.</t>
  </si>
  <si>
    <t xml:space="preserve">• Tier 2 (15-30%): 75% credit for DST</t>
  </si>
  <si>
    <t xml:space="preserve">If any SIP is stopped or redeemed, the amount is DEBITED from that month's weighted business</t>
  </si>
  <si>
    <t xml:space="preserve">• Tier 3 (&lt;15%): 50% credit for DST</t>
  </si>
  <si>
    <t xml:space="preserve">Anti-misselling tool. Discourages start-stop behavior by agents/RMs.</t>
  </si>
  <si>
    <t xml:space="preserve">• Channel business: Credit = Company margin % × Tier credit</t>
  </si>
  <si>
    <t xml:space="preserve">Approx 3-4% on credited business (not on annualized value)</t>
  </si>
  <si>
    <t xml:space="preserve">SECTION 9: MARGIN-BASED INCENTIVE RULES</t>
  </si>
  <si>
    <t xml:space="preserve">• DST incentive slabs: 4-8%, multiplier 1.0-2.0x</t>
  </si>
  <si>
    <t xml:space="preserve">Incentive Rule</t>
  </si>
  <si>
    <t xml:space="preserve">Reference</t>
  </si>
  <si>
    <t xml:space="preserve">• POSP RM slabs (70/30): 1.2-2.0%, multiplier 1.0-2.0x</t>
  </si>
  <si>
    <t xml:space="preserve">Follow TATA AIG Sitara-style payout slabs</t>
  </si>
  <si>
    <t xml:space="preserve">Cannot pay flat 3-4% on motor - margins vary by product</t>
  </si>
  <si>
    <t xml:space="preserve">• Target adjustment: (30%/margin%) × base target</t>
  </si>
  <si>
    <t xml:space="preserve">Slab-based: Target+upto ₹3L = 1.5%, ₹3L-5L = 2%, ₹5L+ = 3%</t>
  </si>
  <si>
    <t xml:space="preserve">Based on basic premium above target, paid quarterly</t>
  </si>
  <si>
    <t xml:space="preserve">• Lower margin = lower incentive, proportionally scaled</t>
  </si>
  <si>
    <t xml:space="preserve">15% credit only. Lower incentive rate proportionate to margin.</t>
  </si>
  <si>
    <t xml:space="preserve">POSP - Normal Payout Grade</t>
  </si>
  <si>
    <t xml:space="preserve">30% credit. Standard incentive slabs apply.</t>
  </si>
  <si>
    <t xml:space="preserve">SECTION 10: TRAIL ON INCREMENTAL AUM ONLY</t>
  </si>
  <si>
    <t xml:space="preserve">Proportionately LESS incentive. Higher POSP payout = lower company margin = lower RM incentive.</t>
  </si>
  <si>
    <t xml:space="preserve">• Starting/handed-over AUM: Zero trail</t>
  </si>
  <si>
    <t xml:space="preserve">Incentive is proportionate to company earnings. Person working with higher-margin products earns more than one working with high-payout POSPs.</t>
  </si>
  <si>
    <t xml:space="preserve">• Incremental AUM, existing client: 15% trail share</t>
  </si>
  <si>
    <t xml:space="preserve">• Incremental AUM, new PAN: 25% trail share</t>
  </si>
  <si>
    <t xml:space="preserve">• Sub-broker managed: 30% of eligible rate × margin factor</t>
  </si>
  <si>
    <t xml:space="preserve">Included in Target Base</t>
  </si>
  <si>
    <t xml:space="preserve">• Franchise: 10% of eligible rate</t>
  </si>
  <si>
    <t xml:space="preserve">Yes - full CTC</t>
  </si>
  <si>
    <t xml:space="preserve">• SIP clawback continues to apply</t>
  </si>
  <si>
    <t xml:space="preserve">Yes - monthly rental of branch office</t>
  </si>
  <si>
    <t xml:space="preserve">Support Staff Cost</t>
  </si>
  <si>
    <t xml:space="preserve">Yes - back office, admin at branch</t>
  </si>
  <si>
    <t xml:space="preserve">Sales Team under AM</t>
  </si>
  <si>
    <t xml:space="preserve">Yes - all team member costs</t>
  </si>
  <si>
    <t xml:space="preserve">HO/RO Facility Share</t>
  </si>
  <si>
    <t xml:space="preserve">15% of direct reporting's cost attributed as facilities charge</t>
  </si>
  <si>
    <t xml:space="preserve">Target Calculation</t>
  </si>
  <si>
    <t xml:space="preserve">20× Total Cost (all above components combined)</t>
  </si>
  <si>
    <t xml:space="preserve">SECTION 5: PROFIT CENTER APPROACH (Senior Management)</t>
  </si>
  <si>
    <t xml:space="preserve">Bonus %</t>
  </si>
  <si>
    <t xml:space="preserve">Calculated On</t>
  </si>
  <si>
    <t xml:space="preserve">L2 (Vertical Head)</t>
  </si>
  <si>
    <t xml:space="preserve">8-12%</t>
  </si>
  <si>
    <t xml:space="preserve">Actual vertical profit AFTER all costs including attrition</t>
  </si>
  <si>
    <t xml:space="preserve">L3 (Zonal Head)</t>
  </si>
  <si>
    <t xml:space="preserve">5-8%</t>
  </si>
  <si>
    <t xml:space="preserve">L4 (Regional Manager)</t>
  </si>
  <si>
    <t xml:space="preserve">3-5%</t>
  </si>
  <si>
    <t xml:space="preserve">L5 (Branch Manager)</t>
  </si>
  <si>
    <t xml:space="preserve">2-4%</t>
  </si>
  <si>
    <t xml:space="preserve">Attrition Cost</t>
  </si>
  <si>
    <t xml:space="preserve">100% to hiring manager if exit &lt;3 months, 50% if 3-6 months</t>
  </si>
  <si>
    <t xml:space="preserve">SECTION 6: GENERAL RULES</t>
  </si>
  <si>
    <t xml:space="preserve">System-Driven</t>
  </si>
  <si>
    <t xml:space="preserve">All calculations are automatic. Only Super Admin (Ram Shah &amp; Sangita Shah) can override.</t>
  </si>
  <si>
    <t xml:space="preserve">Two Criteria Mandatory</t>
  </si>
  <si>
    <t xml:space="preserve">Minimum 2 criteria must be met for quarterly/yearly incentive qualification</t>
  </si>
  <si>
    <t xml:space="preserve">Active POSP Definition</t>
  </si>
  <si>
    <t xml:space="preserve">Minimum ₹20,000 business. Motor TP-Only from PSU insurers NOT counted.</t>
  </si>
  <si>
    <t xml:space="preserve">Renewal Retention</t>
  </si>
  <si>
    <t xml:space="preserve">&gt;80% renewal retention required for RM/CDM to earn incentives</t>
  </si>
  <si>
    <t xml:space="preserve">FP Route 125% Credit</t>
  </si>
  <si>
    <t xml:space="preserve">Requires: (1) Complete Financial Plan data (2) Maker-Checker verification by Super Admin</t>
  </si>
  <si>
    <t xml:space="preserve">Directors' Business</t>
  </si>
  <si>
    <t xml:space="preserve">Business from Ram/Sangita Shah credited at 30% to handling RM</t>
  </si>
  <si>
    <t xml:space="preserve">Firm's Code Business</t>
  </si>
  <si>
    <t xml:space="preserve">Double credit in target AND incentives (per TATA AIA Sitara reference)</t>
  </si>
  <si>
    <t xml:space="preserve">Performance Allowance</t>
  </si>
  <si>
    <t xml:space="preserve">Excellent (130%+) = ₹3,000/month, Standard (100%) = ₹2,000/month, Below = NIL</t>
  </si>
  <si>
    <t xml:space="preserve">SECTION 7: LISTED COMPANY COMPLIANCE</t>
  </si>
  <si>
    <t xml:space="preserve">Requirement</t>
  </si>
  <si>
    <t xml:space="preserve">Implementation</t>
  </si>
  <si>
    <t xml:space="preserve">Audit Trail</t>
  </si>
  <si>
    <t xml:space="preserve">Every override/change logged with date, user, old value, new value, reason</t>
  </si>
  <si>
    <t xml:space="preserve">Maker-Checker</t>
  </si>
  <si>
    <t xml:space="preserve">All FP Route 125% credits require dual verification</t>
  </si>
  <si>
    <t xml:space="preserve">Role-Based Access</t>
  </si>
  <si>
    <t xml:space="preserve">Admin/Finance/HR/Sales Manager/Executive - tiered access matrix</t>
  </si>
  <si>
    <t xml:space="preserve">SEBI/IRDAI Ready</t>
  </si>
  <si>
    <t xml:space="preserve">Framework designed for regulatory audit compliance</t>
  </si>
  <si>
    <t xml:space="preserve">Board Governance</t>
  </si>
  <si>
    <t xml:space="preserve">Quarterly incentive reports to Board with P&amp;L impact analysis</t>
  </si>
  <si>
    <t xml:space="preserve">Document Version: 2.1 | Effective: FY 2026-27 | Approved by: Ram Shah, Director</t>
  </si>
  <si>
    <t xml:space="preserve">Trustner Group reserves the right to modify terms with/without prior notice.</t>
  </si>
  <si>
    <t xml:space="preserve">TRUSTNER GROUP — ESOP &amp; PHANTOM STOCK PLAN</t>
  </si>
  <si>
    <t xml:space="preserve">SECTION A: PLAN PARAMETERS</t>
  </si>
  <si>
    <t xml:space="preserve">Parameter</t>
  </si>
  <si>
    <t xml:space="preserve">Value</t>
  </si>
  <si>
    <t xml:space="preserve">Total ESOP Pool (% of equity)</t>
  </si>
  <si>
    <t xml:space="preserve">5.0%</t>
  </si>
  <si>
    <t xml:space="preserve">SEBI compliant; Board-approved pool. Source: SEBI SBEB Regulations 2021</t>
  </si>
  <si>
    <t xml:space="preserve">Pre-IPO Company Valuation (₹ Cr)</t>
  </si>
  <si>
    <t xml:space="preserve">Estimated pre-money. Update annually with auditor sign-off.</t>
  </si>
  <si>
    <t xml:space="preserve">Total Shares Outstanding</t>
  </si>
  <si>
    <t xml:space="preserve">Notional for phantom stock calculation</t>
  </si>
  <si>
    <t xml:space="preserve">ESOP Pool Shares</t>
  </si>
  <si>
    <t xml:space="preserve">Auto-calculated from pool %</t>
  </si>
  <si>
    <t xml:space="preserve">Price per Phantom Unit (₹)</t>
  </si>
  <si>
    <t xml:space="preserve">Valuation ÷ shares. Updates with revaluation.</t>
  </si>
  <si>
    <t xml:space="preserve">Vesting Schedule</t>
  </si>
  <si>
    <t xml:space="preserve">4 years</t>
  </si>
  <si>
    <t xml:space="preserve">25% per year after 1-year cliff</t>
  </si>
  <si>
    <t xml:space="preserve">Cliff Period</t>
  </si>
  <si>
    <t xml:space="preserve">1 year</t>
  </si>
  <si>
    <t xml:space="preserve">No vesting before 12 months of service</t>
  </si>
  <si>
    <t xml:space="preserve">Exercise Window Post-Vesting</t>
  </si>
  <si>
    <t xml:space="preserve">5 years</t>
  </si>
  <si>
    <t xml:space="preserve">Must exercise within 5 years of vesting</t>
  </si>
  <si>
    <t xml:space="preserve">Accelerated Vesting on IPO</t>
  </si>
  <si>
    <t xml:space="preserve">All unvested units vest on IPO listing date</t>
  </si>
  <si>
    <t xml:space="preserve">Good Leaver Treatment</t>
  </si>
  <si>
    <t xml:space="preserve">Pro-rata vested</t>
  </si>
  <si>
    <t xml:space="preserve">Vested units retained; unvested forfeited</t>
  </si>
  <si>
    <t xml:space="preserve">Bad Leaver Treatment</t>
  </si>
  <si>
    <t xml:space="preserve">Full forfeiture</t>
  </si>
  <si>
    <t xml:space="preserve">All units (vested + unvested) forfeited</t>
  </si>
  <si>
    <t xml:space="preserve">Lock-in Post Exercise</t>
  </si>
  <si>
    <t xml:space="preserve">SEBI minimum for listed entity post-IPO</t>
  </si>
  <si>
    <t xml:space="preserve">Settlement Mode (Pre-IPO)</t>
  </si>
  <si>
    <t xml:space="preserve">Cash (Phantom)</t>
  </si>
  <si>
    <t xml:space="preserve">Cash-settled at latest valuation; no actual shares until listing</t>
  </si>
  <si>
    <t xml:space="preserve">Settlement Mode (Post-IPO)</t>
  </si>
  <si>
    <t xml:space="preserve">Equity (ESOP)</t>
  </si>
  <si>
    <t xml:space="preserve">Converted to actual ESOP on listing</t>
  </si>
  <si>
    <t xml:space="preserve">Tax Event</t>
  </si>
  <si>
    <t xml:space="preserve">On exercise/allotment</t>
  </si>
  <si>
    <t xml:space="preserve">Perquisite tax as per IT Act. Source: Section 17(2)(vi)</t>
  </si>
  <si>
    <t xml:space="preserve">SECTION B: ELIGIBILITY &amp; ALLOCATION MATRIX</t>
  </si>
  <si>
    <t xml:space="preserve">Eligible?</t>
  </si>
  <si>
    <t xml:space="preserve">Phantom Units (Annual Grant)</t>
  </si>
  <si>
    <t xml:space="preserve">Year 1 Vest</t>
  </si>
  <si>
    <t xml:space="preserve">Year 2 Vest</t>
  </si>
  <si>
    <t xml:space="preserve">Year 3 Vest</t>
  </si>
  <si>
    <t xml:space="preserve">Year 4 Vest</t>
  </si>
  <si>
    <t xml:space="preserve">L1</t>
  </si>
  <si>
    <t xml:space="preserve">Director / Promoter</t>
  </si>
  <si>
    <t xml:space="preserve">L2</t>
  </si>
  <si>
    <t xml:space="preserve">CDO / Vertical Head</t>
  </si>
  <si>
    <t xml:space="preserve">L3</t>
  </si>
  <si>
    <t xml:space="preserve">Regional Manager / Sales Head</t>
  </si>
  <si>
    <t xml:space="preserve">L4</t>
  </si>
  <si>
    <t xml:space="preserve">Area Manager / CDM</t>
  </si>
  <si>
    <t xml:space="preserve">L5</t>
  </si>
  <si>
    <t xml:space="preserve">Sr. RM / Team Leader</t>
  </si>
  <si>
    <t xml:space="preserve">L6</t>
  </si>
  <si>
    <t xml:space="preserve">RM / Executive (2+ yrs)</t>
  </si>
  <si>
    <t xml:space="preserve">L7</t>
  </si>
  <si>
    <t xml:space="preserve">Support / Back Office (3+ yrs)</t>
  </si>
  <si>
    <t xml:space="preserve">L8</t>
  </si>
  <si>
    <t xml:space="preserve">New Joinee (&lt;1 yr)</t>
  </si>
  <si>
    <t xml:space="preserve">SECTION C: INDIVIDUAL VESTING &amp; VALUE CALCULATOR</t>
  </si>
  <si>
    <t xml:space="preserve">Employee Name</t>
  </si>
  <si>
    <t xml:space="preserve">Grant Date</t>
  </si>
  <si>
    <t xml:space="preserve">Units Granted</t>
  </si>
  <si>
    <t xml:space="preserve">Unit Price (₹)</t>
  </si>
  <si>
    <t xml:space="preserve">Year 1 (Cliff)</t>
  </si>
  <si>
    <t xml:space="preserve">Year 2 Vested</t>
  </si>
  <si>
    <t xml:space="preserve">Year 3 Vested</t>
  </si>
  <si>
    <t xml:space="preserve">Year 4 Vested</t>
  </si>
  <si>
    <t xml:space="preserve">Total Vested Value (₹)</t>
  </si>
  <si>
    <t xml:space="preserve">2026-04-01</t>
  </si>
  <si>
    <t xml:space="preserve">TOTAL POOL UTILIZATION</t>
  </si>
  <si>
    <t xml:space="preserve">POOL REMAINING</t>
  </si>
  <si>
    <t xml:space="preserve">NOTE: On IPO (target 2030), all unvested phantom units convert to ESOPs and vest immediately. Pre-IPO cash settlement at latest Board-approved valuation.</t>
  </si>
  <si>
    <t xml:space="preserve">TRUSTNER GROUP — BALANCED SCORECARD</t>
  </si>
  <si>
    <t xml:space="preserve">DIMENSION WEIGHTS (must sum to 100%)</t>
  </si>
  <si>
    <t xml:space="preserve">Dimension</t>
  </si>
  <si>
    <t xml:space="preserve">Weight</t>
  </si>
  <si>
    <t xml:space="preserve">Sales Roles</t>
  </si>
  <si>
    <t xml:space="preserve">Manager Roles</t>
  </si>
  <si>
    <t xml:space="preserve">Support Roles</t>
  </si>
  <si>
    <t xml:space="preserve">Financial</t>
  </si>
  <si>
    <t xml:space="preserve">Customer</t>
  </si>
  <si>
    <t xml:space="preserve">Process</t>
  </si>
  <si>
    <t xml:space="preserve">Learning &amp; Growth</t>
  </si>
  <si>
    <t xml:space="preserve">DETAILED KPI FRAMEWORK</t>
  </si>
  <si>
    <t xml:space="preserve">KPI</t>
  </si>
  <si>
    <t xml:space="preserve">Measure</t>
  </si>
  <si>
    <t xml:space="preserve">Target (100%)</t>
  </si>
  <si>
    <t xml:space="preserve">Stretch (120%)</t>
  </si>
  <si>
    <t xml:space="preserve">Actual</t>
  </si>
  <si>
    <t xml:space="preserve">Score</t>
  </si>
  <si>
    <t xml:space="preserve">Weighted Score</t>
  </si>
  <si>
    <t xml:space="preserve">Revenue vs Target</t>
  </si>
  <si>
    <t xml:space="preserve">₹ Monthly Weighted Business ÷ Monthly Target</t>
  </si>
  <si>
    <t xml:space="preserve">130%</t>
  </si>
  <si>
    <t xml:space="preserve">Profit Contribution</t>
  </si>
  <si>
    <t xml:space="preserve">Vertical P&amp;L Profit %</t>
  </si>
  <si>
    <t xml:space="preserve">Cost-to-Income Ratio</t>
  </si>
  <si>
    <t xml:space="preserve">Total cost ÷ Revenue</t>
  </si>
  <si>
    <t xml:space="preserve">&lt;35%</t>
  </si>
  <si>
    <t xml:space="preserve">&lt;25%</t>
  </si>
  <si>
    <t xml:space="preserve">New Business Growth</t>
  </si>
  <si>
    <t xml:space="preserve">YoY new premium growth %</t>
  </si>
  <si>
    <t xml:space="preserve">40%</t>
  </si>
  <si>
    <t xml:space="preserve">Client NPS Score</t>
  </si>
  <si>
    <t xml:space="preserve">Net Promoter Score (survey)</t>
  </si>
  <si>
    <t xml:space="preserve">50</t>
  </si>
  <si>
    <t xml:space="preserve">75</t>
  </si>
  <si>
    <t xml:space="preserve">Client Retention Rate</t>
  </si>
  <si>
    <t xml:space="preserve">Renewals retained ÷ Total due</t>
  </si>
  <si>
    <t xml:space="preserve">Complaint Resolution</t>
  </si>
  <si>
    <t xml:space="preserve">% resolved within SLA</t>
  </si>
  <si>
    <t xml:space="preserve">Cross-sell Ratio</t>
  </si>
  <si>
    <t xml:space="preserve">Avg products per client</t>
  </si>
  <si>
    <t xml:space="preserve">1.5</t>
  </si>
  <si>
    <t xml:space="preserve">2.5</t>
  </si>
  <si>
    <t xml:space="preserve">Policy Issuance TAT</t>
  </si>
  <si>
    <t xml:space="preserve">Avg days from proposal to issuance</t>
  </si>
  <si>
    <t xml:space="preserve">3 days</t>
  </si>
  <si>
    <t xml:space="preserve">1 day</t>
  </si>
  <si>
    <t xml:space="preserve">Documentation Accuracy</t>
  </si>
  <si>
    <t xml:space="preserve">% error-free submissions</t>
  </si>
  <si>
    <t xml:space="preserve">KYC Compliance Score</t>
  </si>
  <si>
    <t xml:space="preserve">% KYC complete &amp; current</t>
  </si>
  <si>
    <t xml:space="preserve">Mis-selling Incidents</t>
  </si>
  <si>
    <t xml:space="preserve">Count of validated complaints</t>
  </si>
  <si>
    <t xml:space="preserve">0</t>
  </si>
  <si>
    <t xml:space="preserve">Certifications Completed</t>
  </si>
  <si>
    <t xml:space="preserve">IRDAI/NISM/SEBI certs earned</t>
  </si>
  <si>
    <t xml:space="preserve">1/year</t>
  </si>
  <si>
    <t xml:space="preserve">2/year</t>
  </si>
  <si>
    <t xml:space="preserve">Training Hours</t>
  </si>
  <si>
    <t xml:space="preserve">Hours of L&amp;D per quarter</t>
  </si>
  <si>
    <t xml:space="preserve">20 hrs</t>
  </si>
  <si>
    <t xml:space="preserve">40 hrs</t>
  </si>
  <si>
    <t xml:space="preserve">Team Retention (Mgrs)</t>
  </si>
  <si>
    <t xml:space="preserve">Direct reports retained &gt;1yr</t>
  </si>
  <si>
    <t xml:space="preserve">85%</t>
  </si>
  <si>
    <t xml:space="preserve">Digital Adoption</t>
  </si>
  <si>
    <t xml:space="preserve">% transactions via platform</t>
  </si>
  <si>
    <t xml:space="preserve">COMPOSITE SCORE</t>
  </si>
  <si>
    <t xml:space="preserve">COMPLIANCE SCORECARD MULTIPLIER</t>
  </si>
  <si>
    <t xml:space="preserve">Compliance Factor</t>
  </si>
  <si>
    <t xml:space="preserve">Zero mis-selling complaints</t>
  </si>
  <si>
    <t xml:space="preserve">KYC 100% compliant</t>
  </si>
  <si>
    <t xml:space="preserve">No regulatory observations</t>
  </si>
  <si>
    <t xml:space="preserve">Audit score &gt; 90%</t>
  </si>
  <si>
    <t xml:space="preserve">Timely MIS submission</t>
  </si>
  <si>
    <t xml:space="preserve">FINAL COMPLIANCE MULTIPLIER</t>
  </si>
  <si>
    <t xml:space="preserve">FINAL ADJUSTED INCENTIVE</t>
  </si>
  <si>
    <t xml:space="preserve">← Composite Score × Compliance Multiplier = Final Payout Factor</t>
  </si>
  <si>
    <t xml:space="preserve">TRUSTNER GROUP — DEFERRED BONUS &amp; CLAWBACK STRUCTURE</t>
  </si>
  <si>
    <t xml:space="preserve">SECTION A: DEFERRED BONUS RULES</t>
  </si>
  <si>
    <t xml:space="preserve">Applicability</t>
  </si>
  <si>
    <t xml:space="preserve">Immediate Payout %</t>
  </si>
  <si>
    <t xml:space="preserve">60%</t>
  </si>
  <si>
    <t xml:space="preserve">Paid within 30 days of quarter-end</t>
  </si>
  <si>
    <t xml:space="preserve">Deferred Payout %</t>
  </si>
  <si>
    <t xml:space="preserve">Held for 2 years, released in equal halves</t>
  </si>
  <si>
    <t xml:space="preserve">Deferred Tranche 1</t>
  </si>
  <si>
    <t xml:space="preserve">Released after Year 1 if no clawback trigger</t>
  </si>
  <si>
    <t xml:space="preserve">Deferred Tranche 2</t>
  </si>
  <si>
    <t xml:space="preserve">Released after Year 2 if no clawback trigger</t>
  </si>
  <si>
    <t xml:space="preserve">Eligible Levels</t>
  </si>
  <si>
    <t xml:space="preserve">L2 to L4</t>
  </si>
  <si>
    <t xml:space="preserve">CDO, Vertical Heads, Regional Managers, Area Managers</t>
  </si>
  <si>
    <t xml:space="preserve">Minimum Bonus to Defer</t>
  </si>
  <si>
    <t xml:space="preserve">₹50,000</t>
  </si>
  <si>
    <t xml:space="preserve">Below this, full amount paid immediately</t>
  </si>
  <si>
    <t xml:space="preserve">SECTION B: CLAWBACK TRIGGERS</t>
  </si>
  <si>
    <t xml:space="preserve">Trigger Event</t>
  </si>
  <si>
    <t xml:space="preserve">Clawback %</t>
  </si>
  <si>
    <t xml:space="preserve">Applied To</t>
  </si>
  <si>
    <t xml:space="preserve">Authority</t>
  </si>
  <si>
    <t xml:space="preserve">Vertical underperforms vs prior year</t>
  </si>
  <si>
    <t xml:space="preserve">50%</t>
  </si>
  <si>
    <t xml:space="preserve">Deferred balance</t>
  </si>
  <si>
    <t xml:space="preserve">Board / Super Admin</t>
  </si>
  <si>
    <t xml:space="preserve">Compliance breach / regulatory penalty</t>
  </si>
  <si>
    <t xml:space="preserve">Mis-selling proven against team</t>
  </si>
  <si>
    <t xml:space="preserve">Super Admin</t>
  </si>
  <si>
    <t xml:space="preserve">Voluntary resignation before deferral release</t>
  </si>
  <si>
    <t xml:space="preserve">Unvested deferred balance</t>
  </si>
  <si>
    <t xml:space="preserve">Automatic</t>
  </si>
  <si>
    <t xml:space="preserve">Team attrition &gt;30% in deferral period</t>
  </si>
  <si>
    <t xml:space="preserve">25%</t>
  </si>
  <si>
    <t xml:space="preserve">HR Committee</t>
  </si>
  <si>
    <t xml:space="preserve">Fraud / embezzlement</t>
  </si>
  <si>
    <t xml:space="preserve">ALL (immediate + deferred)</t>
  </si>
  <si>
    <t xml:space="preserve">Board + Legal</t>
  </si>
  <si>
    <t xml:space="preserve">Client complaint upheld by regulator</t>
  </si>
  <si>
    <t xml:space="preserve">Compliance Officer</t>
  </si>
  <si>
    <t xml:space="preserve">SECTION C: DEFERRED BONUS CALCULATOR</t>
  </si>
  <si>
    <t xml:space="preserve">Employee</t>
  </si>
  <si>
    <t xml:space="preserve">Gross Bonus (₹)</t>
  </si>
  <si>
    <t xml:space="preserve">Immediate 60% (₹)</t>
  </si>
  <si>
    <t xml:space="preserve">Deferred 40% (₹)</t>
  </si>
  <si>
    <t xml:space="preserve">Tranche 1 (Yr 1)</t>
  </si>
  <si>
    <t xml:space="preserve">Tranche 2 (Yr 2)</t>
  </si>
  <si>
    <t xml:space="preserve">Clawback Trigger?</t>
  </si>
  <si>
    <t xml:space="preserve">Net Deferred Payout (₹)</t>
  </si>
  <si>
    <t xml:space="preserve">TRUSTNER GROUP — CUSTOMER LIFETIME VALUE (CLV) BONUS</t>
  </si>
  <si>
    <t xml:space="preserve">SECTION A: CLV TIER STRUCTURE</t>
  </si>
  <si>
    <t xml:space="preserve">Client Book CLV (₹)</t>
  </si>
  <si>
    <t xml:space="preserve">Annual Bonus (₹)</t>
  </si>
  <si>
    <t xml:space="preserve">Frequency</t>
  </si>
  <si>
    <t xml:space="preserve">Eligibility</t>
  </si>
  <si>
    <t xml:space="preserve">Rationale</t>
  </si>
  <si>
    <t xml:space="preserve">Bronze</t>
  </si>
  <si>
    <t xml:space="preserve">₹1L – ₹5L cumulative premium</t>
  </si>
  <si>
    <t xml:space="preserve">Annual</t>
  </si>
  <si>
    <t xml:space="preserve">All RMs, 1+ year tenure</t>
  </si>
  <si>
    <t xml:space="preserve">Rewards early relationship building</t>
  </si>
  <si>
    <t xml:space="preserve">Silver</t>
  </si>
  <si>
    <t xml:space="preserve">₹5L – ₹15L cumulative premium</t>
  </si>
  <si>
    <t xml:space="preserve">Growing multi-product relationships</t>
  </si>
  <si>
    <t xml:space="preserve">Gold</t>
  </si>
  <si>
    <t xml:space="preserve">₹15L – ₹30L cumulative premium</t>
  </si>
  <si>
    <t xml:space="preserve">All RMs, 2+ year tenure</t>
  </si>
  <si>
    <t xml:space="preserve">High-value advisory relationships</t>
  </si>
  <si>
    <t xml:space="preserve">Platinum</t>
  </si>
  <si>
    <t xml:space="preserve">₹30L – ₹50L cumulative premium</t>
  </si>
  <si>
    <t xml:space="preserve">Senior RMs, 2+ year tenure</t>
  </si>
  <si>
    <t xml:space="preserve">Premium client management</t>
  </si>
  <si>
    <t xml:space="preserve">Diamond</t>
  </si>
  <si>
    <t xml:space="preserve">₹50L+ cumulative premium</t>
  </si>
  <si>
    <t xml:space="preserve">Top performers, 3+ year tenure</t>
  </si>
  <si>
    <t xml:space="preserve">Elite relationship managers — wealth advisory level</t>
  </si>
  <si>
    <t xml:space="preserve">SECTION B: CLV CALCULATION RULES</t>
  </si>
  <si>
    <t xml:space="preserve">Component</t>
  </si>
  <si>
    <t xml:space="preserve">Included in CLV?</t>
  </si>
  <si>
    <t xml:space="preserve">Calculation</t>
  </si>
  <si>
    <t xml:space="preserve">Life Insurance Premium (all years)</t>
  </si>
  <si>
    <t xml:space="preserve">Cumulative annual premium paid by client across all policies</t>
  </si>
  <si>
    <t xml:space="preserve">Health Insurance Premium (all years)</t>
  </si>
  <si>
    <t xml:space="preserve">Cumulative annual premium including renewals</t>
  </si>
  <si>
    <t xml:space="preserve">GI Premium (all years)</t>
  </si>
  <si>
    <t xml:space="preserve">Motor + Non-Motor + GMC cumulative</t>
  </si>
  <si>
    <t xml:space="preserve">MF AUM (current)</t>
  </si>
  <si>
    <t xml:space="preserve">Current AUM at NAV (not purchase value)</t>
  </si>
  <si>
    <t xml:space="preserve">MF SIP (annualized)</t>
  </si>
  <si>
    <t xml:space="preserve">Monthly SIP × 12 for current running SIPs only</t>
  </si>
  <si>
    <t xml:space="preserve">Demat AUM</t>
  </si>
  <si>
    <t xml:space="preserve">Current portfolio value</t>
  </si>
  <si>
    <t xml:space="preserve">Loan Products (if any)</t>
  </si>
  <si>
    <t xml:space="preserve">Not counted — different vertical</t>
  </si>
  <si>
    <t xml:space="preserve">Lapsed / Surrendered Policies</t>
  </si>
  <si>
    <t xml:space="preserve">Deducted</t>
  </si>
  <si>
    <t xml:space="preserve">Surrender value deducted from CLV</t>
  </si>
  <si>
    <t xml:space="preserve">Stopped SIPs</t>
  </si>
  <si>
    <t xml:space="preserve">Annualized stopped SIP deducted from CLV</t>
  </si>
  <si>
    <t xml:space="preserve">SECTION C: RM-WISE CLV BONUS CALCULATOR</t>
  </si>
  <si>
    <t xml:space="preserve">Life Cum (₹)</t>
  </si>
  <si>
    <t xml:space="preserve">Health Cum (₹)</t>
  </si>
  <si>
    <t xml:space="preserve">GI Cum (₹)</t>
  </si>
  <si>
    <t xml:space="preserve">MF AUM (₹)</t>
  </si>
  <si>
    <t xml:space="preserve">Total CLV (₹)</t>
  </si>
  <si>
    <t xml:space="preserve">Tenure Check</t>
  </si>
  <si>
    <t xml:space="preserve">OK</t>
  </si>
  <si>
    <t xml:space="preserve">TOTAL CLV BONUS PAYOUT</t>
  </si>
  <si>
    <t xml:space="preserve">SECTION D: TEAM BUILDING BONUS (Managers)</t>
  </si>
  <si>
    <t xml:space="preserve">Manager</t>
  </si>
  <si>
    <t xml:space="preserve">Team Retention %</t>
  </si>
  <si>
    <t xml:space="preserve">Team Target Ach %</t>
  </si>
  <si>
    <t xml:space="preserve">Qualifies?</t>
  </si>
  <si>
    <t xml:space="preserve">Bonus (₹)</t>
  </si>
  <si>
    <t xml:space="preserve">Team retention &gt;90% AND collective target &gt;100%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</si>
</sst>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.0"/>
    <numFmt numFmtId="166" formatCode="0.00"/>
    <numFmt numFmtId="167" formatCode="0.0%"/>
    <numFmt numFmtId="168" formatCode="#,##0"/>
    <numFmt numFmtId="169" formatCode="0.00\x"/>
    <numFmt numFmtId="170" formatCode="dd\-mmm\-yyyy"/>
    <numFmt numFmtId="171" formatCode="0.0\%"/>
    <numFmt numFmtId="172" formatCode="0\%"/>
    <numFmt numFmtId="173" formatCode="0.00\x"/>
    <numFmt numFmtId="174" formatCode="0.00%"/>
    <numFmt numFmtId="175" formatCode="0%"/>
    <numFmt numFmtId="176" formatCode="\₹#,##0"/>
    <numFmt numFmtId="177" formatCode="0.000"/>
    <numFmt numFmtId="178" formatCode="\₹#,##0;&quot;(₹&quot;#,##0\);\-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2"/>
      <color rgb="FF1A365D"/>
      <name val="Arial"/>
      <family val="0"/>
      <charset val="1"/>
    </font>
    <font>
      <i val="true"/>
      <sz val="9"/>
      <name val="Cambria"/>
      <family val="0"/>
      <charset val="1"/>
    </font>
    <font>
      <b val="true"/>
      <sz val="10"/>
      <color rgb="FFFF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1A365D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color rgb="FF1A365D"/>
      <name val="Cambria"/>
      <family val="0"/>
      <charset val="1"/>
    </font>
    <font>
      <b val="true"/>
      <sz val="11"/>
      <color rgb="FF1A365D"/>
      <name val="Cambria"/>
      <family val="0"/>
      <charset val="1"/>
    </font>
    <font>
      <b val="true"/>
      <sz val="14"/>
      <color rgb="FF1A365D"/>
      <name val="Arial"/>
      <family val="0"/>
      <charset val="1"/>
    </font>
    <font>
      <b val="true"/>
      <sz val="13"/>
      <color rgb="FF1A365D"/>
      <name val="Arial"/>
      <family val="0"/>
      <charset val="1"/>
    </font>
    <font>
      <b val="true"/>
      <sz val="11"/>
      <color rgb="FF2B6CB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2"/>
      <color rgb="FFFF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F00"/>
        <bgColor rgb="FFFFFF00"/>
      </patternFill>
    </fill>
    <fill>
      <patternFill patternType="solid">
        <fgColor rgb="FF1A365D"/>
        <bgColor rgb="FF333333"/>
      </patternFill>
    </fill>
    <fill>
      <patternFill patternType="solid">
        <fgColor rgb="FFFFFFF0"/>
        <bgColor rgb="FFFFFFFF"/>
      </patternFill>
    </fill>
    <fill>
      <patternFill patternType="solid">
        <fgColor rgb="FFD6EAF8"/>
        <bgColor rgb="FFD5F5E3"/>
      </patternFill>
    </fill>
    <fill>
      <patternFill patternType="solid">
        <fgColor rgb="FFE8E8E8"/>
        <bgColor rgb="FFF2F3F4"/>
      </patternFill>
    </fill>
    <fill>
      <patternFill patternType="solid">
        <fgColor rgb="FFD5F5E3"/>
        <bgColor rgb="FFD6EAF8"/>
      </patternFill>
    </fill>
    <fill>
      <patternFill patternType="solid">
        <fgColor rgb="FFFEF9E7"/>
        <bgColor rgb="FFFFFFF0"/>
      </patternFill>
    </fill>
    <fill>
      <patternFill patternType="solid">
        <fgColor rgb="FFE8DAEF"/>
        <bgColor rgb="FFE8E8E8"/>
      </patternFill>
    </fill>
    <fill>
      <patternFill patternType="solid">
        <fgColor rgb="FFFADBD8"/>
        <bgColor rgb="FFE8DAEF"/>
      </patternFill>
    </fill>
    <fill>
      <patternFill patternType="solid">
        <fgColor rgb="FFF2F3F4"/>
        <bgColor rgb="FFFEF9E7"/>
      </patternFill>
    </fill>
    <fill>
      <patternFill patternType="solid">
        <fgColor rgb="FFD5D8DC"/>
        <bgColor rgb="FFE8DAEF"/>
      </patternFill>
    </fill>
    <fill>
      <patternFill patternType="solid">
        <fgColor rgb="FFF9E79F"/>
        <bgColor rgb="FFFADBD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11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11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11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1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2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11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2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AA00FF"/>
      <rgbColor rgb="FF00FFFF"/>
      <rgbColor rgb="FF800000"/>
      <rgbColor rgb="FF008000"/>
      <rgbColor rgb="FF000080"/>
      <rgbColor rgb="FF999900"/>
      <rgbColor rgb="FF800080"/>
      <rgbColor rgb="FF009999"/>
      <rgbColor rgb="FFE8DAEF"/>
      <rgbColor rgb="FF808080"/>
      <rgbColor rgb="FF9999FF"/>
      <rgbColor rgb="FF993366"/>
      <rgbColor rgb="FFFEF9E7"/>
      <rgbColor rgb="FFD6EAF8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AA00"/>
      <rgbColor rgb="FF0000FF"/>
      <rgbColor rgb="FF00CCFF"/>
      <rgbColor rgb="FFF2F3F4"/>
      <rgbColor rgb="FFD5F5E3"/>
      <rgbColor rgb="FFF9E79F"/>
      <rgbColor rgb="FFE8E8E8"/>
      <rgbColor rgb="FFFFFFF0"/>
      <rgbColor rgb="FFCC99FF"/>
      <rgbColor rgb="FFFADBD8"/>
      <rgbColor rgb="FF2B6CB0"/>
      <rgbColor rgb="FF33CCCC"/>
      <rgbColor rgb="FF99CC00"/>
      <rgbColor rgb="FFFFCC00"/>
      <rgbColor rgb="FFCC6600"/>
      <rgbColor rgb="FFFF6600"/>
      <rgbColor rgb="FF666666"/>
      <rgbColor rgb="FF969696"/>
      <rgbColor rgb="FF1A365D"/>
      <rgbColor rgb="FF009900"/>
      <rgbColor rgb="FF003300"/>
      <rgbColor rgb="FF333300"/>
      <rgbColor rgb="FFFF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5"/>
    <col collapsed="false" customWidth="true" hidden="false" outlineLevel="0" max="4" min="3" style="0" width="20"/>
    <col collapsed="false" customWidth="true" hidden="false" outlineLevel="0" max="5" min="5" style="0" width="25"/>
  </cols>
  <sheetData>
    <row r="1" customFormat="false" ht="26.8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15" hidden="false" customHeight="false" outlineLevel="0" collapsed="false">
      <c r="A3" s="3" t="s">
        <v>6</v>
      </c>
      <c r="B3" s="3" t="s">
        <v>7</v>
      </c>
      <c r="C3" s="3" t="s">
        <v>8</v>
      </c>
      <c r="D3" s="4" t="n">
        <v>100</v>
      </c>
      <c r="E3" s="4" t="n">
        <v>15</v>
      </c>
    </row>
    <row r="4" customFormat="false" ht="15" hidden="false" customHeight="false" outlineLevel="0" collapsed="false">
      <c r="A4" s="3" t="s">
        <v>9</v>
      </c>
      <c r="B4" s="3" t="s">
        <v>10</v>
      </c>
      <c r="C4" s="3" t="s">
        <v>11</v>
      </c>
      <c r="D4" s="4" t="n">
        <v>75</v>
      </c>
      <c r="E4" s="4" t="n">
        <v>10</v>
      </c>
    </row>
    <row r="5" customFormat="false" ht="15" hidden="false" customHeight="false" outlineLevel="0" collapsed="false">
      <c r="A5" s="3" t="s">
        <v>12</v>
      </c>
      <c r="B5" s="3" t="s">
        <v>13</v>
      </c>
      <c r="C5" s="3" t="s">
        <v>14</v>
      </c>
      <c r="D5" s="4" t="n">
        <v>50</v>
      </c>
      <c r="E5" s="4" t="n">
        <v>5</v>
      </c>
    </row>
    <row r="6" customFormat="false" ht="15" hidden="false" customHeight="false" outlineLevel="0" collapsed="false">
      <c r="A6" s="3" t="s">
        <v>15</v>
      </c>
      <c r="B6" s="3" t="s">
        <v>13</v>
      </c>
      <c r="C6" s="3" t="s">
        <v>14</v>
      </c>
      <c r="D6" s="4" t="n">
        <v>50</v>
      </c>
      <c r="E6" s="4" t="n">
        <v>5</v>
      </c>
    </row>
    <row r="7" customFormat="false" ht="15" hidden="false" customHeight="false" outlineLevel="0" collapsed="false">
      <c r="A7" s="3" t="s">
        <v>16</v>
      </c>
      <c r="B7" s="3" t="s">
        <v>7</v>
      </c>
      <c r="C7" s="3" t="s">
        <v>8</v>
      </c>
      <c r="D7" s="4" t="n">
        <v>100</v>
      </c>
      <c r="E7" s="4" t="n">
        <v>10</v>
      </c>
    </row>
    <row r="8" customFormat="false" ht="15" hidden="false" customHeight="false" outlineLevel="0" collapsed="false">
      <c r="A8" s="3" t="s">
        <v>17</v>
      </c>
      <c r="B8" s="3" t="s">
        <v>10</v>
      </c>
      <c r="C8" s="3" t="s">
        <v>11</v>
      </c>
      <c r="D8" s="4" t="n">
        <v>75</v>
      </c>
      <c r="E8" s="4" t="n">
        <v>7.5</v>
      </c>
    </row>
    <row r="9" customFormat="false" ht="15" hidden="false" customHeight="false" outlineLevel="0" collapsed="false">
      <c r="A9" s="3" t="s">
        <v>18</v>
      </c>
      <c r="B9" s="3" t="s">
        <v>7</v>
      </c>
      <c r="C9" s="3" t="s">
        <v>8</v>
      </c>
      <c r="D9" s="4" t="n">
        <v>100</v>
      </c>
      <c r="E9" s="4" t="n">
        <v>10</v>
      </c>
    </row>
    <row r="10" customFormat="false" ht="15" hidden="false" customHeight="false" outlineLevel="0" collapsed="false">
      <c r="A10" s="3" t="s">
        <v>19</v>
      </c>
      <c r="B10" s="3" t="s">
        <v>7</v>
      </c>
      <c r="C10" s="3" t="s">
        <v>8</v>
      </c>
      <c r="D10" s="4" t="n">
        <v>100</v>
      </c>
      <c r="E10" s="4" t="n">
        <v>10</v>
      </c>
    </row>
    <row r="11" customFormat="false" ht="15" hidden="false" customHeight="false" outlineLevel="0" collapsed="false">
      <c r="A11" s="3" t="s">
        <v>20</v>
      </c>
      <c r="B11" s="3" t="s">
        <v>13</v>
      </c>
      <c r="C11" s="3" t="s">
        <v>14</v>
      </c>
      <c r="D11" s="4" t="n">
        <v>50</v>
      </c>
      <c r="E11" s="4" t="n">
        <v>5</v>
      </c>
    </row>
    <row r="12" customFormat="false" ht="15" hidden="false" customHeight="false" outlineLevel="0" collapsed="false">
      <c r="A12" s="3" t="s">
        <v>21</v>
      </c>
      <c r="B12" s="3" t="s">
        <v>13</v>
      </c>
      <c r="C12" s="3" t="s">
        <v>14</v>
      </c>
      <c r="D12" s="4" t="n">
        <v>50</v>
      </c>
      <c r="E12" s="4" t="n">
        <v>5</v>
      </c>
    </row>
    <row r="13" customFormat="false" ht="15" hidden="false" customHeight="false" outlineLevel="0" collapsed="false">
      <c r="A13" s="3" t="s">
        <v>22</v>
      </c>
      <c r="B13" s="3" t="s">
        <v>13</v>
      </c>
      <c r="C13" s="3" t="s">
        <v>14</v>
      </c>
      <c r="D13" s="4" t="n">
        <v>50</v>
      </c>
      <c r="E13" s="4" t="n">
        <v>5</v>
      </c>
    </row>
    <row r="14" customFormat="false" ht="15" hidden="false" customHeight="false" outlineLevel="0" collapsed="false">
      <c r="A14" s="3" t="s">
        <v>23</v>
      </c>
      <c r="B14" s="3" t="s">
        <v>13</v>
      </c>
      <c r="C14" s="3" t="s">
        <v>14</v>
      </c>
      <c r="D14" s="4" t="n">
        <v>50</v>
      </c>
      <c r="E14" s="4" t="n">
        <v>5</v>
      </c>
    </row>
    <row r="15" customFormat="false" ht="15" hidden="false" customHeight="false" outlineLevel="0" collapsed="false">
      <c r="A15" s="3" t="s">
        <v>24</v>
      </c>
      <c r="B15" s="3" t="s">
        <v>10</v>
      </c>
      <c r="C15" s="3" t="s">
        <v>11</v>
      </c>
      <c r="D15" s="4" t="n">
        <v>75</v>
      </c>
      <c r="E15" s="4" t="n">
        <v>7.5</v>
      </c>
    </row>
    <row r="16" customFormat="false" ht="15" hidden="false" customHeight="false" outlineLevel="0" collapsed="false">
      <c r="A16" s="3" t="s">
        <v>25</v>
      </c>
      <c r="B16" s="3" t="s">
        <v>10</v>
      </c>
      <c r="C16" s="3" t="s">
        <v>11</v>
      </c>
      <c r="D16" s="4" t="n">
        <v>75</v>
      </c>
      <c r="E16" s="4" t="n">
        <v>7.5</v>
      </c>
    </row>
    <row r="17" customFormat="false" ht="15" hidden="false" customHeight="false" outlineLevel="0" collapsed="false">
      <c r="A17" s="3" t="s">
        <v>26</v>
      </c>
      <c r="B17" s="3" t="s">
        <v>13</v>
      </c>
      <c r="C17" s="3" t="s">
        <v>14</v>
      </c>
      <c r="D17" s="4" t="n">
        <v>50</v>
      </c>
      <c r="E17" s="4" t="n">
        <v>5</v>
      </c>
    </row>
    <row r="18" customFormat="false" ht="15" hidden="false" customHeight="false" outlineLevel="0" collapsed="false">
      <c r="A18" s="3" t="s">
        <v>27</v>
      </c>
      <c r="B18" s="3" t="s">
        <v>7</v>
      </c>
      <c r="C18" s="3" t="s">
        <v>8</v>
      </c>
      <c r="D18" s="4" t="n">
        <v>100</v>
      </c>
      <c r="E18" s="4" t="n">
        <v>10</v>
      </c>
    </row>
    <row r="19" customFormat="false" ht="15" hidden="false" customHeight="false" outlineLevel="0" collapsed="false">
      <c r="A19" s="3" t="s">
        <v>28</v>
      </c>
      <c r="B19" s="3" t="s">
        <v>13</v>
      </c>
      <c r="C19" s="3" t="s">
        <v>14</v>
      </c>
      <c r="D19" s="4" t="n">
        <v>50</v>
      </c>
      <c r="E19" s="4" t="n">
        <v>5</v>
      </c>
    </row>
    <row r="20" customFormat="false" ht="15" hidden="false" customHeight="false" outlineLevel="0" collapsed="false">
      <c r="A20" s="3" t="s">
        <v>29</v>
      </c>
      <c r="B20" s="3" t="s">
        <v>13</v>
      </c>
      <c r="C20" s="3" t="s">
        <v>14</v>
      </c>
      <c r="D20" s="4" t="n">
        <v>50</v>
      </c>
      <c r="E20" s="4" t="n">
        <v>5</v>
      </c>
    </row>
    <row r="21" customFormat="false" ht="15" hidden="false" customHeight="false" outlineLevel="0" collapsed="false">
      <c r="A21" s="3" t="s">
        <v>30</v>
      </c>
      <c r="B21" s="3" t="s">
        <v>7</v>
      </c>
      <c r="C21" s="3" t="s">
        <v>8</v>
      </c>
      <c r="D21" s="4" t="n">
        <v>125</v>
      </c>
      <c r="E21" s="4" t="n">
        <v>15</v>
      </c>
    </row>
    <row r="24" customFormat="false" ht="26.85" hidden="false" customHeight="false" outlineLevel="0" collapsed="false">
      <c r="A24" s="1" t="s">
        <v>31</v>
      </c>
    </row>
    <row r="25" customFormat="false" ht="26.85" hidden="false" customHeight="false" outlineLevel="0" collapsed="false">
      <c r="A25" s="2" t="s">
        <v>32</v>
      </c>
      <c r="B25" s="2" t="s">
        <v>33</v>
      </c>
      <c r="C25" s="2" t="s">
        <v>34</v>
      </c>
      <c r="D25" s="2" t="s">
        <v>35</v>
      </c>
      <c r="E25" s="2" t="s">
        <v>36</v>
      </c>
    </row>
    <row r="26" customFormat="false" ht="15" hidden="false" customHeight="false" outlineLevel="0" collapsed="false">
      <c r="A26" s="3" t="s">
        <v>37</v>
      </c>
      <c r="B26" s="3" t="s">
        <v>38</v>
      </c>
      <c r="C26" s="3" t="s">
        <v>39</v>
      </c>
      <c r="D26" s="3" t="s">
        <v>40</v>
      </c>
      <c r="E26" s="3" t="s">
        <v>41</v>
      </c>
    </row>
    <row r="27" customFormat="false" ht="15" hidden="false" customHeight="false" outlineLevel="0" collapsed="false">
      <c r="A27" s="3" t="s">
        <v>42</v>
      </c>
      <c r="B27" s="3" t="s">
        <v>43</v>
      </c>
      <c r="C27" s="3" t="s">
        <v>44</v>
      </c>
      <c r="D27" s="3" t="s">
        <v>45</v>
      </c>
      <c r="E27" s="3" t="s">
        <v>46</v>
      </c>
    </row>
    <row r="28" customFormat="false" ht="15" hidden="false" customHeight="false" outlineLevel="0" collapsed="false">
      <c r="A28" s="3" t="s">
        <v>47</v>
      </c>
      <c r="B28" s="3" t="s">
        <v>48</v>
      </c>
      <c r="C28" s="3" t="s">
        <v>49</v>
      </c>
      <c r="D28" s="3" t="s">
        <v>50</v>
      </c>
      <c r="E28" s="3" t="s">
        <v>51</v>
      </c>
    </row>
    <row r="29" customFormat="false" ht="15" hidden="false" customHeight="false" outlineLevel="0" collapsed="false">
      <c r="A29" s="3" t="s">
        <v>52</v>
      </c>
      <c r="B29" s="3" t="s">
        <v>53</v>
      </c>
      <c r="C29" s="3" t="s">
        <v>54</v>
      </c>
      <c r="D29" s="3" t="s">
        <v>55</v>
      </c>
      <c r="E29" s="3" t="s">
        <v>56</v>
      </c>
    </row>
    <row r="30" customFormat="false" ht="15" hidden="false" customHeight="false" outlineLevel="0" collapsed="false">
      <c r="A30" s="3" t="s">
        <v>57</v>
      </c>
      <c r="B30" s="3" t="s">
        <v>58</v>
      </c>
      <c r="C30" s="3" t="s">
        <v>59</v>
      </c>
      <c r="D30" s="3" t="s">
        <v>60</v>
      </c>
      <c r="E30" s="3" t="s">
        <v>61</v>
      </c>
    </row>
    <row r="31" customFormat="false" ht="15" hidden="false" customHeight="false" outlineLevel="0" collapsed="false">
      <c r="A31" s="3" t="s">
        <v>62</v>
      </c>
      <c r="B31" s="3" t="s">
        <v>54</v>
      </c>
      <c r="C31" s="3" t="s">
        <v>53</v>
      </c>
      <c r="D31" s="3" t="s">
        <v>63</v>
      </c>
      <c r="E31" s="3" t="s">
        <v>64</v>
      </c>
    </row>
    <row r="32" customFormat="false" ht="15" hidden="false" customHeight="false" outlineLevel="0" collapsed="false">
      <c r="A32" s="3" t="s">
        <v>65</v>
      </c>
      <c r="B32" s="3" t="s">
        <v>48</v>
      </c>
      <c r="C32" s="3" t="s">
        <v>49</v>
      </c>
      <c r="D32" s="3" t="s">
        <v>50</v>
      </c>
      <c r="E32" s="3" t="s">
        <v>51</v>
      </c>
    </row>
    <row r="33" customFormat="false" ht="46.25" hidden="false" customHeight="false" outlineLevel="0" collapsed="false">
      <c r="A33" s="5" t="s">
        <v>66</v>
      </c>
    </row>
    <row r="35" customFormat="false" ht="39.55" hidden="false" customHeight="false" outlineLevel="0" collapsed="false">
      <c r="A35" s="1" t="s">
        <v>67</v>
      </c>
    </row>
    <row r="36" customFormat="false" ht="15" hidden="false" customHeight="false" outlineLevel="0" collapsed="false">
      <c r="A36" s="2" t="s">
        <v>68</v>
      </c>
      <c r="B36" s="2" t="s">
        <v>69</v>
      </c>
      <c r="C36" s="2" t="s">
        <v>70</v>
      </c>
      <c r="D36" s="2" t="s">
        <v>71</v>
      </c>
    </row>
    <row r="37" customFormat="false" ht="15" hidden="false" customHeight="false" outlineLevel="0" collapsed="false">
      <c r="A37" s="3" t="s">
        <v>72</v>
      </c>
      <c r="B37" s="6" t="n">
        <v>0</v>
      </c>
      <c r="C37" s="6" t="n">
        <v>0</v>
      </c>
      <c r="D37" s="3" t="s">
        <v>73</v>
      </c>
    </row>
    <row r="38" customFormat="false" ht="15" hidden="false" customHeight="false" outlineLevel="0" collapsed="false">
      <c r="A38" s="3" t="s">
        <v>74</v>
      </c>
      <c r="B38" s="6" t="n">
        <v>4</v>
      </c>
      <c r="C38" s="6" t="n">
        <v>1</v>
      </c>
      <c r="D38" s="3" t="s">
        <v>75</v>
      </c>
    </row>
    <row r="39" customFormat="false" ht="15" hidden="false" customHeight="false" outlineLevel="0" collapsed="false">
      <c r="A39" s="3" t="s">
        <v>76</v>
      </c>
      <c r="B39" s="6" t="n">
        <v>5</v>
      </c>
      <c r="C39" s="6" t="n">
        <v>1.25</v>
      </c>
      <c r="D39" s="3" t="s">
        <v>77</v>
      </c>
    </row>
    <row r="40" customFormat="false" ht="15" hidden="false" customHeight="false" outlineLevel="0" collapsed="false">
      <c r="A40" s="3" t="s">
        <v>78</v>
      </c>
      <c r="B40" s="6" t="n">
        <v>6</v>
      </c>
      <c r="C40" s="6" t="n">
        <v>1.5</v>
      </c>
      <c r="D40" s="3" t="s">
        <v>79</v>
      </c>
    </row>
    <row r="41" customFormat="false" ht="15" hidden="false" customHeight="false" outlineLevel="0" collapsed="false">
      <c r="A41" s="3" t="s">
        <v>80</v>
      </c>
      <c r="B41" s="6" t="n">
        <v>7</v>
      </c>
      <c r="C41" s="6" t="n">
        <v>1.75</v>
      </c>
      <c r="D41" s="3" t="s">
        <v>81</v>
      </c>
    </row>
    <row r="42" customFormat="false" ht="15" hidden="false" customHeight="false" outlineLevel="0" collapsed="false">
      <c r="A42" s="3" t="s">
        <v>82</v>
      </c>
      <c r="B42" s="6" t="n">
        <v>8</v>
      </c>
      <c r="C42" s="6" t="n">
        <v>2</v>
      </c>
      <c r="D42" s="3" t="s">
        <v>83</v>
      </c>
    </row>
    <row r="44" customFormat="false" ht="39.55" hidden="false" customHeight="false" outlineLevel="0" collapsed="false">
      <c r="A44" s="1" t="s">
        <v>84</v>
      </c>
    </row>
    <row r="45" customFormat="false" ht="15" hidden="false" customHeight="false" outlineLevel="0" collapsed="false">
      <c r="A45" s="2" t="s">
        <v>68</v>
      </c>
      <c r="B45" s="2" t="s">
        <v>69</v>
      </c>
      <c r="C45" s="2" t="s">
        <v>70</v>
      </c>
      <c r="D45" s="2" t="s">
        <v>71</v>
      </c>
    </row>
    <row r="46" customFormat="false" ht="15" hidden="false" customHeight="false" outlineLevel="0" collapsed="false">
      <c r="A46" s="3" t="s">
        <v>72</v>
      </c>
      <c r="B46" s="6" t="n">
        <v>0</v>
      </c>
      <c r="C46" s="6" t="n">
        <v>0</v>
      </c>
      <c r="D46" s="3" t="s">
        <v>73</v>
      </c>
    </row>
    <row r="47" customFormat="false" ht="15" hidden="false" customHeight="false" outlineLevel="0" collapsed="false">
      <c r="A47" s="3" t="s">
        <v>74</v>
      </c>
      <c r="B47" s="6" t="n">
        <v>1.2</v>
      </c>
      <c r="C47" s="6" t="n">
        <v>1</v>
      </c>
      <c r="D47" s="3" t="s">
        <v>75</v>
      </c>
    </row>
    <row r="48" customFormat="false" ht="15" hidden="false" customHeight="false" outlineLevel="0" collapsed="false">
      <c r="A48" s="3" t="s">
        <v>76</v>
      </c>
      <c r="B48" s="6" t="n">
        <v>1.5</v>
      </c>
      <c r="C48" s="6" t="n">
        <v>1.25</v>
      </c>
      <c r="D48" s="3" t="s">
        <v>77</v>
      </c>
    </row>
    <row r="49" customFormat="false" ht="15" hidden="false" customHeight="false" outlineLevel="0" collapsed="false">
      <c r="A49" s="3" t="s">
        <v>78</v>
      </c>
      <c r="B49" s="6" t="n">
        <v>1.8</v>
      </c>
      <c r="C49" s="6" t="n">
        <v>1.5</v>
      </c>
      <c r="D49" s="3" t="s">
        <v>79</v>
      </c>
    </row>
    <row r="50" customFormat="false" ht="15" hidden="false" customHeight="false" outlineLevel="0" collapsed="false">
      <c r="A50" s="3" t="s">
        <v>80</v>
      </c>
      <c r="B50" s="6" t="n">
        <v>2.1</v>
      </c>
      <c r="C50" s="6" t="n">
        <v>1.75</v>
      </c>
      <c r="D50" s="3" t="s">
        <v>81</v>
      </c>
    </row>
    <row r="51" customFormat="false" ht="15" hidden="false" customHeight="false" outlineLevel="0" collapsed="false">
      <c r="A51" s="3" t="s">
        <v>82</v>
      </c>
      <c r="B51" s="6" t="n">
        <v>2</v>
      </c>
      <c r="C51" s="6" t="n">
        <v>2</v>
      </c>
      <c r="D51" s="3" t="s">
        <v>83</v>
      </c>
    </row>
    <row r="52" customFormat="false" ht="57.45" hidden="false" customHeight="false" outlineLevel="0" collapsed="false">
      <c r="A52" s="5" t="s">
        <v>85</v>
      </c>
    </row>
    <row r="54" customFormat="false" ht="39.55" hidden="false" customHeight="false" outlineLevel="0" collapsed="false">
      <c r="A54" s="1" t="s">
        <v>86</v>
      </c>
    </row>
    <row r="55" customFormat="false" ht="15" hidden="false" customHeight="false" outlineLevel="0" collapsed="false">
      <c r="A55" s="2" t="s">
        <v>87</v>
      </c>
      <c r="B55" s="2" t="s">
        <v>88</v>
      </c>
      <c r="C55" s="2" t="s">
        <v>89</v>
      </c>
    </row>
    <row r="56" customFormat="false" ht="26.85" hidden="false" customHeight="false" outlineLevel="0" collapsed="false">
      <c r="A56" s="3" t="s">
        <v>90</v>
      </c>
      <c r="B56" s="3" t="s">
        <v>91</v>
      </c>
      <c r="C56" s="3" t="n">
        <v>15</v>
      </c>
    </row>
    <row r="57" customFormat="false" ht="15" hidden="false" customHeight="false" outlineLevel="0" collapsed="false">
      <c r="A57" s="3" t="s">
        <v>92</v>
      </c>
      <c r="B57" s="3" t="s">
        <v>93</v>
      </c>
      <c r="C57" s="3" t="n">
        <v>10</v>
      </c>
    </row>
    <row r="58" customFormat="false" ht="15" hidden="false" customHeight="false" outlineLevel="0" collapsed="false">
      <c r="A58" s="3" t="s">
        <v>94</v>
      </c>
      <c r="B58" s="3" t="s">
        <v>95</v>
      </c>
      <c r="C58" s="3" t="n">
        <v>7.5</v>
      </c>
    </row>
    <row r="59" customFormat="false" ht="26.85" hidden="false" customHeight="false" outlineLevel="0" collapsed="false">
      <c r="A59" s="3" t="s">
        <v>96</v>
      </c>
      <c r="B59" s="3" t="s">
        <v>97</v>
      </c>
      <c r="C59" s="3" t="s">
        <v>98</v>
      </c>
    </row>
    <row r="60" customFormat="false" ht="26.85" hidden="false" customHeight="false" outlineLevel="0" collapsed="false">
      <c r="A60" s="3" t="s">
        <v>99</v>
      </c>
      <c r="B60" s="3" t="s">
        <v>100</v>
      </c>
      <c r="C60" s="3" t="n">
        <v>10</v>
      </c>
    </row>
    <row r="61" customFormat="false" ht="26.85" hidden="false" customHeight="false" outlineLevel="0" collapsed="false">
      <c r="A61" s="3" t="s">
        <v>101</v>
      </c>
      <c r="B61" s="3" t="s">
        <v>100</v>
      </c>
      <c r="C61" s="3" t="n">
        <v>7.5</v>
      </c>
    </row>
    <row r="62" customFormat="false" ht="26.85" hidden="false" customHeight="false" outlineLevel="0" collapsed="false">
      <c r="A62" s="3" t="s">
        <v>102</v>
      </c>
      <c r="B62" s="3" t="s">
        <v>100</v>
      </c>
      <c r="C62" s="3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5"/>
    <col collapsed="false" customWidth="true" hidden="false" outlineLevel="0" max="6" min="6" style="0" width="20"/>
    <col collapsed="false" customWidth="true" hidden="false" outlineLevel="0" max="8" min="7" style="0" width="15"/>
    <col collapsed="false" customWidth="true" hidden="false" outlineLevel="0" max="10" min="9" style="0" width="18"/>
    <col collapsed="false" customWidth="true" hidden="false" outlineLevel="0" max="12" min="11" style="0" width="20"/>
    <col collapsed="false" customWidth="true" hidden="false" outlineLevel="0" max="13" min="13" style="0" width="15"/>
    <col collapsed="false" customWidth="true" hidden="false" outlineLevel="0" max="14" min="14" style="0" width="20"/>
  </cols>
  <sheetData>
    <row r="1" customFormat="false" ht="15" hidden="false" customHeight="false" outlineLevel="0" collapsed="false">
      <c r="A1" s="7" t="s">
        <v>103</v>
      </c>
    </row>
    <row r="2" customFormat="false" ht="15" hidden="false" customHeight="false" outlineLevel="0" collapsed="false">
      <c r="A2" s="8" t="s">
        <v>104</v>
      </c>
      <c r="B2" s="9" t="n">
        <v>0.25</v>
      </c>
    </row>
    <row r="3" customFormat="false" ht="15" hidden="false" customHeight="false" outlineLevel="0" collapsed="false">
      <c r="A3" s="8" t="s">
        <v>105</v>
      </c>
      <c r="B3" s="9" t="n">
        <v>0.15</v>
      </c>
    </row>
    <row r="4" customFormat="false" ht="15" hidden="false" customHeight="false" outlineLevel="0" collapsed="false">
      <c r="A4" s="8" t="s">
        <v>106</v>
      </c>
      <c r="B4" s="9" t="n">
        <v>0.3</v>
      </c>
    </row>
    <row r="5" customFormat="false" ht="15" hidden="false" customHeight="false" outlineLevel="0" collapsed="false">
      <c r="A5" s="8" t="s">
        <v>107</v>
      </c>
      <c r="B5" s="9" t="n">
        <v>0.1</v>
      </c>
    </row>
    <row r="6" customFormat="false" ht="15" hidden="false" customHeight="false" outlineLevel="0" collapsed="false">
      <c r="A6" s="8" t="s">
        <v>108</v>
      </c>
      <c r="B6" s="9" t="n">
        <v>0.075</v>
      </c>
    </row>
    <row r="7" customFormat="false" ht="15" hidden="false" customHeight="false" outlineLevel="0" collapsed="false">
      <c r="A7" s="8" t="s">
        <v>109</v>
      </c>
      <c r="B7" s="9" t="n">
        <v>0.05</v>
      </c>
    </row>
    <row r="8" customFormat="false" ht="15" hidden="false" customHeight="false" outlineLevel="0" collapsed="false">
      <c r="A8" s="8" t="s">
        <v>110</v>
      </c>
      <c r="B8" s="9" t="n">
        <v>0.1</v>
      </c>
    </row>
    <row r="14" customFormat="false" ht="15" hidden="false" customHeight="false" outlineLevel="0" collapsed="false">
      <c r="A14" s="10" t="s">
        <v>111</v>
      </c>
    </row>
    <row r="15" customFormat="false" ht="15" hidden="false" customHeight="false" outlineLevel="0" collapsed="false">
      <c r="A15" s="11" t="s">
        <v>112</v>
      </c>
      <c r="B15" s="11" t="s">
        <v>113</v>
      </c>
      <c r="C15" s="11" t="s">
        <v>114</v>
      </c>
      <c r="D15" s="11" t="s">
        <v>115</v>
      </c>
      <c r="E15" s="11" t="s">
        <v>116</v>
      </c>
      <c r="F15" s="11" t="s">
        <v>32</v>
      </c>
      <c r="G15" s="11" t="s">
        <v>117</v>
      </c>
      <c r="H15" s="11" t="s">
        <v>118</v>
      </c>
      <c r="I15" s="11" t="s">
        <v>119</v>
      </c>
      <c r="J15" s="11" t="s">
        <v>120</v>
      </c>
      <c r="K15" s="11" t="s">
        <v>121</v>
      </c>
      <c r="L15" s="11" t="s">
        <v>122</v>
      </c>
      <c r="M15" s="11" t="s">
        <v>123</v>
      </c>
      <c r="N15" s="11" t="s">
        <v>124</v>
      </c>
    </row>
    <row r="16" customFormat="false" ht="15" hidden="false" customHeight="false" outlineLevel="0" collapsed="false">
      <c r="A16" s="12"/>
      <c r="B16" s="13" t="n">
        <v>0</v>
      </c>
      <c r="C16" s="13" t="n">
        <v>0</v>
      </c>
      <c r="D16" s="14" t="n">
        <f aca="false">MAX(C16-B16,0)</f>
        <v>0</v>
      </c>
      <c r="E16" s="12"/>
      <c r="F16" s="12"/>
      <c r="G16" s="15" t="n">
        <v>0</v>
      </c>
      <c r="H16" s="16" t="n">
        <f aca="false">1-G16</f>
        <v>1</v>
      </c>
      <c r="I16" s="16" t="n">
        <f aca="false">IF(E16="New PAN",$B$2,IF(E16="Existing Client",$B$3,0))</f>
        <v>0</v>
      </c>
      <c r="J16" s="16" t="n">
        <f aca="false">IF(F16="Direct",I16,IF(F16="Franchise",I16*0.1,I16*H16))</f>
        <v>0</v>
      </c>
      <c r="K16" s="14" t="n">
        <f aca="false">D16*J16</f>
        <v>0</v>
      </c>
      <c r="L16" s="14" t="n">
        <f aca="false">K16/12</f>
        <v>0</v>
      </c>
      <c r="M16" s="15" t="n">
        <v>0</v>
      </c>
      <c r="N16" s="14" t="n">
        <f aca="false">D16*J16*M16</f>
        <v>0</v>
      </c>
    </row>
    <row r="17" customFormat="false" ht="15" hidden="false" customHeight="false" outlineLevel="0" collapsed="false">
      <c r="A17" s="12"/>
      <c r="B17" s="13" t="n">
        <v>0</v>
      </c>
      <c r="C17" s="13" t="n">
        <v>0</v>
      </c>
      <c r="D17" s="14" t="n">
        <f aca="false">MAX(C17-B17,0)</f>
        <v>0</v>
      </c>
      <c r="E17" s="12"/>
      <c r="F17" s="12"/>
      <c r="G17" s="15" t="n">
        <v>0</v>
      </c>
      <c r="H17" s="16" t="n">
        <f aca="false">1-G17</f>
        <v>1</v>
      </c>
      <c r="I17" s="16" t="n">
        <f aca="false">IF(E17="New PAN",$B$2,IF(E17="Existing Client",$B$3,0))</f>
        <v>0</v>
      </c>
      <c r="J17" s="16" t="n">
        <f aca="false">IF(F17="Direct",I17,IF(F17="Franchise",I17*0.1,I17*H17))</f>
        <v>0</v>
      </c>
      <c r="K17" s="14" t="n">
        <f aca="false">D17*J17</f>
        <v>0</v>
      </c>
      <c r="L17" s="14" t="n">
        <f aca="false">K17/12</f>
        <v>0</v>
      </c>
      <c r="M17" s="15" t="n">
        <v>0</v>
      </c>
      <c r="N17" s="14" t="n">
        <f aca="false">D17*J17*M17</f>
        <v>0</v>
      </c>
    </row>
    <row r="18" customFormat="false" ht="15" hidden="false" customHeight="false" outlineLevel="0" collapsed="false">
      <c r="A18" s="12"/>
      <c r="B18" s="13" t="n">
        <v>0</v>
      </c>
      <c r="C18" s="13" t="n">
        <v>0</v>
      </c>
      <c r="D18" s="14" t="n">
        <f aca="false">MAX(C18-B18,0)</f>
        <v>0</v>
      </c>
      <c r="E18" s="12"/>
      <c r="F18" s="12"/>
      <c r="G18" s="15" t="n">
        <v>0</v>
      </c>
      <c r="H18" s="16" t="n">
        <f aca="false">1-G18</f>
        <v>1</v>
      </c>
      <c r="I18" s="16" t="n">
        <f aca="false">IF(E18="New PAN",$B$2,IF(E18="Existing Client",$B$3,0))</f>
        <v>0</v>
      </c>
      <c r="J18" s="16" t="n">
        <f aca="false">IF(F18="Direct",I18,IF(F18="Franchise",I18*0.1,I18*H18))</f>
        <v>0</v>
      </c>
      <c r="K18" s="14" t="n">
        <f aca="false">D18*J18</f>
        <v>0</v>
      </c>
      <c r="L18" s="14" t="n">
        <f aca="false">K18/12</f>
        <v>0</v>
      </c>
      <c r="M18" s="15" t="n">
        <v>0</v>
      </c>
      <c r="N18" s="14" t="n">
        <f aca="false">D18*J18*M18</f>
        <v>0</v>
      </c>
    </row>
    <row r="19" customFormat="false" ht="15" hidden="false" customHeight="false" outlineLevel="0" collapsed="false">
      <c r="A19" s="12"/>
      <c r="B19" s="13" t="n">
        <v>0</v>
      </c>
      <c r="C19" s="13" t="n">
        <v>0</v>
      </c>
      <c r="D19" s="14" t="n">
        <f aca="false">MAX(C19-B19,0)</f>
        <v>0</v>
      </c>
      <c r="E19" s="12"/>
      <c r="F19" s="12"/>
      <c r="G19" s="15" t="n">
        <v>0</v>
      </c>
      <c r="H19" s="16" t="n">
        <f aca="false">1-G19</f>
        <v>1</v>
      </c>
      <c r="I19" s="16" t="n">
        <f aca="false">IF(E19="New PAN",$B$2,IF(E19="Existing Client",$B$3,0))</f>
        <v>0</v>
      </c>
      <c r="J19" s="16" t="n">
        <f aca="false">IF(F19="Direct",I19,IF(F19="Franchise",I19*0.1,I19*H19))</f>
        <v>0</v>
      </c>
      <c r="K19" s="14" t="n">
        <f aca="false">D19*J19</f>
        <v>0</v>
      </c>
      <c r="L19" s="14" t="n">
        <f aca="false">K19/12</f>
        <v>0</v>
      </c>
      <c r="M19" s="15" t="n">
        <v>0</v>
      </c>
      <c r="N19" s="14" t="n">
        <f aca="false">D19*J19*M19</f>
        <v>0</v>
      </c>
    </row>
    <row r="20" customFormat="false" ht="15" hidden="false" customHeight="false" outlineLevel="0" collapsed="false">
      <c r="A20" s="12"/>
      <c r="B20" s="13" t="n">
        <v>0</v>
      </c>
      <c r="C20" s="13" t="n">
        <v>0</v>
      </c>
      <c r="D20" s="14" t="n">
        <f aca="false">MAX(C20-B20,0)</f>
        <v>0</v>
      </c>
      <c r="E20" s="12"/>
      <c r="F20" s="12"/>
      <c r="G20" s="15" t="n">
        <v>0</v>
      </c>
      <c r="H20" s="16" t="n">
        <f aca="false">1-G20</f>
        <v>1</v>
      </c>
      <c r="I20" s="16" t="n">
        <f aca="false">IF(E20="New PAN",$B$2,IF(E20="Existing Client",$B$3,0))</f>
        <v>0</v>
      </c>
      <c r="J20" s="16" t="n">
        <f aca="false">IF(F20="Direct",I20,IF(F20="Franchise",I20*0.1,I20*H20))</f>
        <v>0</v>
      </c>
      <c r="K20" s="14" t="n">
        <f aca="false">D20*J20</f>
        <v>0</v>
      </c>
      <c r="L20" s="14" t="n">
        <f aca="false">K20/12</f>
        <v>0</v>
      </c>
      <c r="M20" s="15" t="n">
        <v>0</v>
      </c>
      <c r="N20" s="14" t="n">
        <f aca="false">D20*J20*M20</f>
        <v>0</v>
      </c>
    </row>
    <row r="21" customFormat="false" ht="15" hidden="false" customHeight="false" outlineLevel="0" collapsed="false">
      <c r="A21" s="12"/>
      <c r="B21" s="13" t="n">
        <v>0</v>
      </c>
      <c r="C21" s="13" t="n">
        <v>0</v>
      </c>
      <c r="D21" s="14" t="n">
        <f aca="false">MAX(C21-B21,0)</f>
        <v>0</v>
      </c>
      <c r="E21" s="12"/>
      <c r="F21" s="12"/>
      <c r="G21" s="15" t="n">
        <v>0</v>
      </c>
      <c r="H21" s="16" t="n">
        <f aca="false">1-G21</f>
        <v>1</v>
      </c>
      <c r="I21" s="16" t="n">
        <f aca="false">IF(E21="New PAN",$B$2,IF(E21="Existing Client",$B$3,0))</f>
        <v>0</v>
      </c>
      <c r="J21" s="16" t="n">
        <f aca="false">IF(F21="Direct",I21,IF(F21="Franchise",I21*0.1,I21*H21))</f>
        <v>0</v>
      </c>
      <c r="K21" s="14" t="n">
        <f aca="false">D21*J21</f>
        <v>0</v>
      </c>
      <c r="L21" s="14" t="n">
        <f aca="false">K21/12</f>
        <v>0</v>
      </c>
      <c r="M21" s="15" t="n">
        <v>0</v>
      </c>
      <c r="N21" s="14" t="n">
        <f aca="false">D21*J21*M21</f>
        <v>0</v>
      </c>
    </row>
    <row r="22" customFormat="false" ht="15" hidden="false" customHeight="false" outlineLevel="0" collapsed="false">
      <c r="A22" s="12"/>
      <c r="B22" s="13" t="n">
        <v>0</v>
      </c>
      <c r="C22" s="13" t="n">
        <v>0</v>
      </c>
      <c r="D22" s="14" t="n">
        <f aca="false">MAX(C22-B22,0)</f>
        <v>0</v>
      </c>
      <c r="E22" s="12"/>
      <c r="F22" s="12"/>
      <c r="G22" s="15" t="n">
        <v>0</v>
      </c>
      <c r="H22" s="16" t="n">
        <f aca="false">1-G22</f>
        <v>1</v>
      </c>
      <c r="I22" s="16" t="n">
        <f aca="false">IF(E22="New PAN",$B$2,IF(E22="Existing Client",$B$3,0))</f>
        <v>0</v>
      </c>
      <c r="J22" s="16" t="n">
        <f aca="false">IF(F22="Direct",I22,IF(F22="Franchise",I22*0.1,I22*H22))</f>
        <v>0</v>
      </c>
      <c r="K22" s="14" t="n">
        <f aca="false">D22*J22</f>
        <v>0</v>
      </c>
      <c r="L22" s="14" t="n">
        <f aca="false">K22/12</f>
        <v>0</v>
      </c>
      <c r="M22" s="15" t="n">
        <v>0</v>
      </c>
      <c r="N22" s="14" t="n">
        <f aca="false">D22*J22*M22</f>
        <v>0</v>
      </c>
    </row>
    <row r="23" customFormat="false" ht="15" hidden="false" customHeight="false" outlineLevel="0" collapsed="false">
      <c r="A23" s="12"/>
      <c r="B23" s="13" t="n">
        <v>0</v>
      </c>
      <c r="C23" s="13" t="n">
        <v>0</v>
      </c>
      <c r="D23" s="14" t="n">
        <f aca="false">MAX(C23-B23,0)</f>
        <v>0</v>
      </c>
      <c r="E23" s="12"/>
      <c r="F23" s="12"/>
      <c r="G23" s="15" t="n">
        <v>0</v>
      </c>
      <c r="H23" s="16" t="n">
        <f aca="false">1-G23</f>
        <v>1</v>
      </c>
      <c r="I23" s="16" t="n">
        <f aca="false">IF(E23="New PAN",$B$2,IF(E23="Existing Client",$B$3,0))</f>
        <v>0</v>
      </c>
      <c r="J23" s="16" t="n">
        <f aca="false">IF(F23="Direct",I23,IF(F23="Franchise",I23*0.1,I23*H23))</f>
        <v>0</v>
      </c>
      <c r="K23" s="14" t="n">
        <f aca="false">D23*J23</f>
        <v>0</v>
      </c>
      <c r="L23" s="14" t="n">
        <f aca="false">K23/12</f>
        <v>0</v>
      </c>
      <c r="M23" s="15" t="n">
        <v>0</v>
      </c>
      <c r="N23" s="14" t="n">
        <f aca="false">D23*J23*M23</f>
        <v>0</v>
      </c>
    </row>
    <row r="24" customFormat="false" ht="15" hidden="false" customHeight="false" outlineLevel="0" collapsed="false">
      <c r="A24" s="12"/>
      <c r="B24" s="13" t="n">
        <v>0</v>
      </c>
      <c r="C24" s="13" t="n">
        <v>0</v>
      </c>
      <c r="D24" s="14" t="n">
        <f aca="false">MAX(C24-B24,0)</f>
        <v>0</v>
      </c>
      <c r="E24" s="12"/>
      <c r="F24" s="12"/>
      <c r="G24" s="15" t="n">
        <v>0</v>
      </c>
      <c r="H24" s="16" t="n">
        <f aca="false">1-G24</f>
        <v>1</v>
      </c>
      <c r="I24" s="16" t="n">
        <f aca="false">IF(E24="New PAN",$B$2,IF(E24="Existing Client",$B$3,0))</f>
        <v>0</v>
      </c>
      <c r="J24" s="16" t="n">
        <f aca="false">IF(F24="Direct",I24,IF(F24="Franchise",I24*0.1,I24*H24))</f>
        <v>0</v>
      </c>
      <c r="K24" s="14" t="n">
        <f aca="false">D24*J24</f>
        <v>0</v>
      </c>
      <c r="L24" s="14" t="n">
        <f aca="false">K24/12</f>
        <v>0</v>
      </c>
      <c r="M24" s="15" t="n">
        <v>0</v>
      </c>
      <c r="N24" s="14" t="n">
        <f aca="false">D24*J24*M24</f>
        <v>0</v>
      </c>
    </row>
    <row r="25" customFormat="false" ht="15" hidden="false" customHeight="false" outlineLevel="0" collapsed="false">
      <c r="A25" s="12"/>
      <c r="B25" s="13" t="n">
        <v>0</v>
      </c>
      <c r="C25" s="13" t="n">
        <v>0</v>
      </c>
      <c r="D25" s="14" t="n">
        <f aca="false">MAX(C25-B25,0)</f>
        <v>0</v>
      </c>
      <c r="E25" s="12"/>
      <c r="F25" s="12"/>
      <c r="G25" s="15" t="n">
        <v>0</v>
      </c>
      <c r="H25" s="16" t="n">
        <f aca="false">1-G25</f>
        <v>1</v>
      </c>
      <c r="I25" s="16" t="n">
        <f aca="false">IF(E25="New PAN",$B$2,IF(E25="Existing Client",$B$3,0))</f>
        <v>0</v>
      </c>
      <c r="J25" s="16" t="n">
        <f aca="false">IF(F25="Direct",I25,IF(F25="Franchise",I25*0.1,I25*H25))</f>
        <v>0</v>
      </c>
      <c r="K25" s="14" t="n">
        <f aca="false">D25*J25</f>
        <v>0</v>
      </c>
      <c r="L25" s="14" t="n">
        <f aca="false">K25/12</f>
        <v>0</v>
      </c>
      <c r="M25" s="15" t="n">
        <v>0</v>
      </c>
      <c r="N25" s="14" t="n">
        <f aca="false">D25*J25*M25</f>
        <v>0</v>
      </c>
    </row>
    <row r="26" customFormat="false" ht="15" hidden="false" customHeight="false" outlineLevel="0" collapsed="false">
      <c r="A26" s="12"/>
      <c r="B26" s="13" t="n">
        <v>0</v>
      </c>
      <c r="C26" s="13" t="n">
        <v>0</v>
      </c>
      <c r="D26" s="14" t="n">
        <f aca="false">MAX(C26-B26,0)</f>
        <v>0</v>
      </c>
      <c r="E26" s="12"/>
      <c r="F26" s="12"/>
      <c r="G26" s="15" t="n">
        <v>0</v>
      </c>
      <c r="H26" s="16" t="n">
        <f aca="false">1-G26</f>
        <v>1</v>
      </c>
      <c r="I26" s="16" t="n">
        <f aca="false">IF(E26="New PAN",$B$2,IF(E26="Existing Client",$B$3,0))</f>
        <v>0</v>
      </c>
      <c r="J26" s="16" t="n">
        <f aca="false">IF(F26="Direct",I26,IF(F26="Franchise",I26*0.1,I26*H26))</f>
        <v>0</v>
      </c>
      <c r="K26" s="14" t="n">
        <f aca="false">D26*J26</f>
        <v>0</v>
      </c>
      <c r="L26" s="14" t="n">
        <f aca="false">K26/12</f>
        <v>0</v>
      </c>
      <c r="M26" s="15" t="n">
        <v>0</v>
      </c>
      <c r="N26" s="14" t="n">
        <f aca="false">D26*J26*M26</f>
        <v>0</v>
      </c>
    </row>
    <row r="27" customFormat="false" ht="15" hidden="false" customHeight="false" outlineLevel="0" collapsed="false">
      <c r="A27" s="12"/>
      <c r="B27" s="13" t="n">
        <v>0</v>
      </c>
      <c r="C27" s="13" t="n">
        <v>0</v>
      </c>
      <c r="D27" s="14" t="n">
        <f aca="false">MAX(C27-B27,0)</f>
        <v>0</v>
      </c>
      <c r="E27" s="12"/>
      <c r="F27" s="12"/>
      <c r="G27" s="15" t="n">
        <v>0</v>
      </c>
      <c r="H27" s="16" t="n">
        <f aca="false">1-G27</f>
        <v>1</v>
      </c>
      <c r="I27" s="16" t="n">
        <f aca="false">IF(E27="New PAN",$B$2,IF(E27="Existing Client",$B$3,0))</f>
        <v>0</v>
      </c>
      <c r="J27" s="16" t="n">
        <f aca="false">IF(F27="Direct",I27,IF(F27="Franchise",I27*0.1,I27*H27))</f>
        <v>0</v>
      </c>
      <c r="K27" s="14" t="n">
        <f aca="false">D27*J27</f>
        <v>0</v>
      </c>
      <c r="L27" s="14" t="n">
        <f aca="false">K27/12</f>
        <v>0</v>
      </c>
      <c r="M27" s="15" t="n">
        <v>0</v>
      </c>
      <c r="N27" s="14" t="n">
        <f aca="false">D27*J27*M27</f>
        <v>0</v>
      </c>
    </row>
    <row r="28" customFormat="false" ht="15" hidden="false" customHeight="false" outlineLevel="0" collapsed="false">
      <c r="A28" s="12"/>
      <c r="B28" s="13" t="n">
        <v>0</v>
      </c>
      <c r="C28" s="13" t="n">
        <v>0</v>
      </c>
      <c r="D28" s="14" t="n">
        <f aca="false">MAX(C28-B28,0)</f>
        <v>0</v>
      </c>
      <c r="E28" s="12"/>
      <c r="F28" s="12"/>
      <c r="G28" s="15" t="n">
        <v>0</v>
      </c>
      <c r="H28" s="16" t="n">
        <f aca="false">1-G28</f>
        <v>1</v>
      </c>
      <c r="I28" s="16" t="n">
        <f aca="false">IF(E28="New PAN",$B$2,IF(E28="Existing Client",$B$3,0))</f>
        <v>0</v>
      </c>
      <c r="J28" s="16" t="n">
        <f aca="false">IF(F28="Direct",I28,IF(F28="Franchise",I28*0.1,I28*H28))</f>
        <v>0</v>
      </c>
      <c r="K28" s="14" t="n">
        <f aca="false">D28*J28</f>
        <v>0</v>
      </c>
      <c r="L28" s="14" t="n">
        <f aca="false">K28/12</f>
        <v>0</v>
      </c>
      <c r="M28" s="15" t="n">
        <v>0</v>
      </c>
      <c r="N28" s="14" t="n">
        <f aca="false">D28*J28*M28</f>
        <v>0</v>
      </c>
    </row>
    <row r="29" customFormat="false" ht="15" hidden="false" customHeight="false" outlineLevel="0" collapsed="false">
      <c r="A29" s="12"/>
      <c r="B29" s="13" t="n">
        <v>0</v>
      </c>
      <c r="C29" s="13" t="n">
        <v>0</v>
      </c>
      <c r="D29" s="14" t="n">
        <f aca="false">MAX(C29-B29,0)</f>
        <v>0</v>
      </c>
      <c r="E29" s="12"/>
      <c r="F29" s="12"/>
      <c r="G29" s="15" t="n">
        <v>0</v>
      </c>
      <c r="H29" s="16" t="n">
        <f aca="false">1-G29</f>
        <v>1</v>
      </c>
      <c r="I29" s="16" t="n">
        <f aca="false">IF(E29="New PAN",$B$2,IF(E29="Existing Client",$B$3,0))</f>
        <v>0</v>
      </c>
      <c r="J29" s="16" t="n">
        <f aca="false">IF(F29="Direct",I29,IF(F29="Franchise",I29*0.1,I29*H29))</f>
        <v>0</v>
      </c>
      <c r="K29" s="14" t="n">
        <f aca="false">D29*J29</f>
        <v>0</v>
      </c>
      <c r="L29" s="14" t="n">
        <f aca="false">K29/12</f>
        <v>0</v>
      </c>
      <c r="M29" s="15" t="n">
        <v>0</v>
      </c>
      <c r="N29" s="14" t="n">
        <f aca="false">D29*J29*M29</f>
        <v>0</v>
      </c>
    </row>
    <row r="30" customFormat="false" ht="15" hidden="false" customHeight="false" outlineLevel="0" collapsed="false">
      <c r="A30" s="12"/>
      <c r="B30" s="13" t="n">
        <v>0</v>
      </c>
      <c r="C30" s="13" t="n">
        <v>0</v>
      </c>
      <c r="D30" s="14" t="n">
        <f aca="false">MAX(C30-B30,0)</f>
        <v>0</v>
      </c>
      <c r="E30" s="12"/>
      <c r="F30" s="12"/>
      <c r="G30" s="15" t="n">
        <v>0</v>
      </c>
      <c r="H30" s="16" t="n">
        <f aca="false">1-G30</f>
        <v>1</v>
      </c>
      <c r="I30" s="16" t="n">
        <f aca="false">IF(E30="New PAN",$B$2,IF(E30="Existing Client",$B$3,0))</f>
        <v>0</v>
      </c>
      <c r="J30" s="16" t="n">
        <f aca="false">IF(F30="Direct",I30,IF(F30="Franchise",I30*0.1,I30*H30))</f>
        <v>0</v>
      </c>
      <c r="K30" s="14" t="n">
        <f aca="false">D30*J30</f>
        <v>0</v>
      </c>
      <c r="L30" s="14" t="n">
        <f aca="false">K30/12</f>
        <v>0</v>
      </c>
      <c r="M30" s="15" t="n">
        <v>0</v>
      </c>
      <c r="N30" s="14" t="n">
        <f aca="false">D30*J30*M30</f>
        <v>0</v>
      </c>
    </row>
    <row r="31" customFormat="false" ht="15" hidden="false" customHeight="false" outlineLevel="0" collapsed="false">
      <c r="A31" s="12"/>
      <c r="B31" s="13" t="n">
        <v>0</v>
      </c>
      <c r="C31" s="13" t="n">
        <v>0</v>
      </c>
      <c r="D31" s="14" t="n">
        <f aca="false">MAX(C31-B31,0)</f>
        <v>0</v>
      </c>
      <c r="E31" s="12"/>
      <c r="F31" s="12"/>
      <c r="G31" s="15" t="n">
        <v>0</v>
      </c>
      <c r="H31" s="16" t="n">
        <f aca="false">1-G31</f>
        <v>1</v>
      </c>
      <c r="I31" s="16" t="n">
        <f aca="false">IF(E31="New PAN",$B$2,IF(E31="Existing Client",$B$3,0))</f>
        <v>0</v>
      </c>
      <c r="J31" s="16" t="n">
        <f aca="false">IF(F31="Direct",I31,IF(F31="Franchise",I31*0.1,I31*H31))</f>
        <v>0</v>
      </c>
      <c r="K31" s="14" t="n">
        <f aca="false">D31*J31</f>
        <v>0</v>
      </c>
      <c r="L31" s="14" t="n">
        <f aca="false">K31/12</f>
        <v>0</v>
      </c>
      <c r="M31" s="15" t="n">
        <v>0</v>
      </c>
      <c r="N31" s="14" t="n">
        <f aca="false">D31*J31*M31</f>
        <v>0</v>
      </c>
    </row>
    <row r="32" customFormat="false" ht="15" hidden="false" customHeight="false" outlineLevel="0" collapsed="false">
      <c r="A32" s="12"/>
      <c r="B32" s="13" t="n">
        <v>0</v>
      </c>
      <c r="C32" s="13" t="n">
        <v>0</v>
      </c>
      <c r="D32" s="14" t="n">
        <f aca="false">MAX(C32-B32,0)</f>
        <v>0</v>
      </c>
      <c r="E32" s="12"/>
      <c r="F32" s="12"/>
      <c r="G32" s="15" t="n">
        <v>0</v>
      </c>
      <c r="H32" s="16" t="n">
        <f aca="false">1-G32</f>
        <v>1</v>
      </c>
      <c r="I32" s="16" t="n">
        <f aca="false">IF(E32="New PAN",$B$2,IF(E32="Existing Client",$B$3,0))</f>
        <v>0</v>
      </c>
      <c r="J32" s="16" t="n">
        <f aca="false">IF(F32="Direct",I32,IF(F32="Franchise",I32*0.1,I32*H32))</f>
        <v>0</v>
      </c>
      <c r="K32" s="14" t="n">
        <f aca="false">D32*J32</f>
        <v>0</v>
      </c>
      <c r="L32" s="14" t="n">
        <f aca="false">K32/12</f>
        <v>0</v>
      </c>
      <c r="M32" s="15" t="n">
        <v>0</v>
      </c>
      <c r="N32" s="14" t="n">
        <f aca="false">D32*J32*M32</f>
        <v>0</v>
      </c>
    </row>
    <row r="33" customFormat="false" ht="15" hidden="false" customHeight="false" outlineLevel="0" collapsed="false">
      <c r="A33" s="12"/>
      <c r="B33" s="13" t="n">
        <v>0</v>
      </c>
      <c r="C33" s="13" t="n">
        <v>0</v>
      </c>
      <c r="D33" s="14" t="n">
        <f aca="false">MAX(C33-B33,0)</f>
        <v>0</v>
      </c>
      <c r="E33" s="12"/>
      <c r="F33" s="12"/>
      <c r="G33" s="15" t="n">
        <v>0</v>
      </c>
      <c r="H33" s="16" t="n">
        <f aca="false">1-G33</f>
        <v>1</v>
      </c>
      <c r="I33" s="16" t="n">
        <f aca="false">IF(E33="New PAN",$B$2,IF(E33="Existing Client",$B$3,0))</f>
        <v>0</v>
      </c>
      <c r="J33" s="16" t="n">
        <f aca="false">IF(F33="Direct",I33,IF(F33="Franchise",I33*0.1,I33*H33))</f>
        <v>0</v>
      </c>
      <c r="K33" s="14" t="n">
        <f aca="false">D33*J33</f>
        <v>0</v>
      </c>
      <c r="L33" s="14" t="n">
        <f aca="false">K33/12</f>
        <v>0</v>
      </c>
      <c r="M33" s="15" t="n">
        <v>0</v>
      </c>
      <c r="N33" s="14" t="n">
        <f aca="false">D33*J33*M33</f>
        <v>0</v>
      </c>
    </row>
    <row r="34" customFormat="false" ht="15" hidden="false" customHeight="false" outlineLevel="0" collapsed="false">
      <c r="A34" s="12"/>
      <c r="B34" s="13" t="n">
        <v>0</v>
      </c>
      <c r="C34" s="13" t="n">
        <v>0</v>
      </c>
      <c r="D34" s="14" t="n">
        <f aca="false">MAX(C34-B34,0)</f>
        <v>0</v>
      </c>
      <c r="E34" s="12"/>
      <c r="F34" s="12"/>
      <c r="G34" s="15" t="n">
        <v>0</v>
      </c>
      <c r="H34" s="16" t="n">
        <f aca="false">1-G34</f>
        <v>1</v>
      </c>
      <c r="I34" s="16" t="n">
        <f aca="false">IF(E34="New PAN",$B$2,IF(E34="Existing Client",$B$3,0))</f>
        <v>0</v>
      </c>
      <c r="J34" s="16" t="n">
        <f aca="false">IF(F34="Direct",I34,IF(F34="Franchise",I34*0.1,I34*H34))</f>
        <v>0</v>
      </c>
      <c r="K34" s="14" t="n">
        <f aca="false">D34*J34</f>
        <v>0</v>
      </c>
      <c r="L34" s="14" t="n">
        <f aca="false">K34/12</f>
        <v>0</v>
      </c>
      <c r="M34" s="15" t="n">
        <v>0</v>
      </c>
      <c r="N34" s="14" t="n">
        <f aca="false">D34*J34*M34</f>
        <v>0</v>
      </c>
    </row>
    <row r="35" customFormat="false" ht="15" hidden="false" customHeight="false" outlineLevel="0" collapsed="false">
      <c r="A35" s="12"/>
      <c r="B35" s="13" t="n">
        <v>0</v>
      </c>
      <c r="C35" s="13" t="n">
        <v>0</v>
      </c>
      <c r="D35" s="14" t="n">
        <f aca="false">MAX(C35-B35,0)</f>
        <v>0</v>
      </c>
      <c r="E35" s="12"/>
      <c r="F35" s="12"/>
      <c r="G35" s="15" t="n">
        <v>0</v>
      </c>
      <c r="H35" s="16" t="n">
        <f aca="false">1-G35</f>
        <v>1</v>
      </c>
      <c r="I35" s="16" t="n">
        <f aca="false">IF(E35="New PAN",$B$2,IF(E35="Existing Client",$B$3,0))</f>
        <v>0</v>
      </c>
      <c r="J35" s="16" t="n">
        <f aca="false">IF(F35="Direct",I35,IF(F35="Franchise",I35*0.1,I35*H35))</f>
        <v>0</v>
      </c>
      <c r="K35" s="14" t="n">
        <f aca="false">D35*J35</f>
        <v>0</v>
      </c>
      <c r="L35" s="14" t="n">
        <f aca="false">K35/12</f>
        <v>0</v>
      </c>
      <c r="M35" s="15" t="n">
        <v>0</v>
      </c>
      <c r="N35" s="14" t="n">
        <f aca="false">D35*J35*M35</f>
        <v>0</v>
      </c>
    </row>
  </sheetData>
  <dataValidations count="2">
    <dataValidation allowBlank="true" errorStyle="stop" operator="between" showDropDown="false" showErrorMessage="false" showInputMessage="false" sqref="E16:E35" type="list">
      <formula1>"New PAN,Existing Client"</formula1>
      <formula2>0</formula2>
    </dataValidation>
    <dataValidation allowBlank="true" errorStyle="stop" operator="between" showDropDown="false" showErrorMessage="false" showInputMessage="false" sqref="F16:F35" type="list">
      <formula1>"Direct,Sub-broker,POSP,Franchise,Digital Platform"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18"/>
    <col collapsed="false" customWidth="true" hidden="false" outlineLevel="0" max="7" min="7" style="0" width="22"/>
    <col collapsed="false" customWidth="true" hidden="false" outlineLevel="0" max="8" min="8" style="0" width="20"/>
    <col collapsed="false" customWidth="true" hidden="false" outlineLevel="0" max="9" min="9" style="0" width="22"/>
    <col collapsed="false" customWidth="true" hidden="false" outlineLevel="0" max="10" min="10" style="0" width="20"/>
    <col collapsed="false" customWidth="true" hidden="false" outlineLevel="0" max="11" min="11" style="0" width="25"/>
  </cols>
  <sheetData>
    <row r="1" customFormat="false" ht="15" hidden="false" customHeight="false" outlineLevel="0" collapsed="false">
      <c r="A1" s="7" t="s">
        <v>125</v>
      </c>
    </row>
    <row r="2" customFormat="false" ht="15" hidden="false" customHeight="false" outlineLevel="0" collapsed="false">
      <c r="A2" s="11" t="s">
        <v>112</v>
      </c>
      <c r="B2" s="11" t="s">
        <v>126</v>
      </c>
      <c r="C2" s="11" t="s">
        <v>127</v>
      </c>
      <c r="D2" s="11" t="s">
        <v>32</v>
      </c>
      <c r="E2" s="11" t="s">
        <v>128</v>
      </c>
      <c r="F2" s="11" t="s">
        <v>118</v>
      </c>
      <c r="G2" s="11" t="s">
        <v>129</v>
      </c>
      <c r="H2" s="11" t="s">
        <v>36</v>
      </c>
      <c r="I2" s="11" t="s">
        <v>130</v>
      </c>
      <c r="J2" s="11" t="s">
        <v>131</v>
      </c>
      <c r="K2" s="11" t="s">
        <v>132</v>
      </c>
    </row>
    <row r="3" customFormat="false" ht="15" hidden="false" customHeight="false" outlineLevel="0" collapsed="false">
      <c r="A3" s="17" t="s">
        <v>133</v>
      </c>
      <c r="B3" s="12"/>
      <c r="C3" s="14" t="n">
        <v>0</v>
      </c>
      <c r="D3" s="12" t="s">
        <v>134</v>
      </c>
      <c r="E3" s="15" t="n">
        <v>0</v>
      </c>
      <c r="F3" s="16" t="n">
        <f aca="false">1-E3</f>
        <v>1</v>
      </c>
      <c r="G3" s="18" t="n">
        <v>0</v>
      </c>
      <c r="H3" s="19" t="n">
        <f aca="false">IF(F3=0,1,0.3/F3)</f>
        <v>0.3</v>
      </c>
      <c r="I3" s="14" t="n">
        <f aca="false">G3*H3/12</f>
        <v>0</v>
      </c>
      <c r="J3" s="8" t="str">
        <f aca="false">IF(D3="Direct","DST Slabs","POSP RM Slabs")</f>
        <v>DST Slabs</v>
      </c>
      <c r="K3" s="12"/>
    </row>
    <row r="4" customFormat="false" ht="15" hidden="false" customHeight="false" outlineLevel="0" collapsed="false">
      <c r="A4" s="17" t="s">
        <v>135</v>
      </c>
      <c r="B4" s="12"/>
      <c r="C4" s="14" t="n">
        <v>0</v>
      </c>
      <c r="D4" s="12" t="s">
        <v>134</v>
      </c>
      <c r="E4" s="15" t="n">
        <v>0</v>
      </c>
      <c r="F4" s="16" t="n">
        <f aca="false">1-E4</f>
        <v>1</v>
      </c>
      <c r="G4" s="18" t="n">
        <v>0</v>
      </c>
      <c r="H4" s="19" t="n">
        <f aca="false">IF(F4=0,1,0.3/F4)</f>
        <v>0.3</v>
      </c>
      <c r="I4" s="14" t="n">
        <f aca="false">G4*H4/12</f>
        <v>0</v>
      </c>
      <c r="J4" s="8" t="str">
        <f aca="false">IF(D4="Direct","DST Slabs","POSP RM Slabs")</f>
        <v>DST Slabs</v>
      </c>
      <c r="K4" s="12"/>
    </row>
    <row r="5" customFormat="false" ht="15" hidden="false" customHeight="false" outlineLevel="0" collapsed="false">
      <c r="A5" s="17" t="s">
        <v>136</v>
      </c>
      <c r="B5" s="12"/>
      <c r="C5" s="14" t="n">
        <v>0</v>
      </c>
      <c r="D5" s="12" t="s">
        <v>134</v>
      </c>
      <c r="E5" s="15" t="n">
        <v>0</v>
      </c>
      <c r="F5" s="16" t="n">
        <f aca="false">1-E5</f>
        <v>1</v>
      </c>
      <c r="G5" s="18" t="n">
        <v>0</v>
      </c>
      <c r="H5" s="19" t="n">
        <f aca="false">IF(F5=0,1,0.3/F5)</f>
        <v>0.3</v>
      </c>
      <c r="I5" s="14" t="n">
        <f aca="false">G5*H5/12</f>
        <v>0</v>
      </c>
      <c r="J5" s="8" t="str">
        <f aca="false">IF(D5="Direct","DST Slabs","POSP RM Slabs")</f>
        <v>DST Slabs</v>
      </c>
      <c r="K5" s="12"/>
    </row>
    <row r="6" customFormat="false" ht="15" hidden="false" customHeight="false" outlineLevel="0" collapsed="false">
      <c r="A6" s="17" t="s">
        <v>137</v>
      </c>
      <c r="B6" s="12"/>
      <c r="C6" s="14" t="n">
        <v>0</v>
      </c>
      <c r="D6" s="12" t="s">
        <v>134</v>
      </c>
      <c r="E6" s="15" t="n">
        <v>0</v>
      </c>
      <c r="F6" s="16" t="n">
        <f aca="false">1-E6</f>
        <v>1</v>
      </c>
      <c r="G6" s="18" t="n">
        <v>0</v>
      </c>
      <c r="H6" s="19" t="n">
        <f aca="false">IF(F6=0,1,0.3/F6)</f>
        <v>0.3</v>
      </c>
      <c r="I6" s="14" t="n">
        <f aca="false">G6*H6/12</f>
        <v>0</v>
      </c>
      <c r="J6" s="8" t="str">
        <f aca="false">IF(D6="Direct","DST Slabs","POSP RM Slabs")</f>
        <v>DST Slabs</v>
      </c>
      <c r="K6" s="12"/>
    </row>
    <row r="7" customFormat="false" ht="15" hidden="false" customHeight="false" outlineLevel="0" collapsed="false">
      <c r="A7" s="17" t="s">
        <v>138</v>
      </c>
      <c r="B7" s="12"/>
      <c r="C7" s="14" t="n">
        <v>0</v>
      </c>
      <c r="D7" s="12" t="s">
        <v>134</v>
      </c>
      <c r="E7" s="15" t="n">
        <v>0</v>
      </c>
      <c r="F7" s="16" t="n">
        <f aca="false">1-E7</f>
        <v>1</v>
      </c>
      <c r="G7" s="18" t="n">
        <v>0</v>
      </c>
      <c r="H7" s="19" t="n">
        <f aca="false">IF(F7=0,1,0.3/F7)</f>
        <v>0.3</v>
      </c>
      <c r="I7" s="14" t="n">
        <f aca="false">G7*H7/12</f>
        <v>0</v>
      </c>
      <c r="J7" s="8" t="str">
        <f aca="false">IF(D7="Direct","DST Slabs","POSP RM Slabs")</f>
        <v>DST Slabs</v>
      </c>
      <c r="K7" s="12"/>
    </row>
    <row r="8" customFormat="false" ht="15" hidden="false" customHeight="false" outlineLevel="0" collapsed="false">
      <c r="A8" s="17" t="s">
        <v>139</v>
      </c>
      <c r="B8" s="12"/>
      <c r="C8" s="14" t="n">
        <v>0</v>
      </c>
      <c r="D8" s="12" t="s">
        <v>134</v>
      </c>
      <c r="E8" s="15" t="n">
        <v>0</v>
      </c>
      <c r="F8" s="16" t="n">
        <f aca="false">1-E8</f>
        <v>1</v>
      </c>
      <c r="G8" s="18" t="n">
        <v>0</v>
      </c>
      <c r="H8" s="19" t="n">
        <f aca="false">IF(F8=0,1,0.3/F8)</f>
        <v>0.3</v>
      </c>
      <c r="I8" s="14" t="n">
        <f aca="false">G8*H8/12</f>
        <v>0</v>
      </c>
      <c r="J8" s="8" t="str">
        <f aca="false">IF(D8="Direct","DST Slabs","POSP RM Slabs")</f>
        <v>DST Slabs</v>
      </c>
      <c r="K8" s="12"/>
    </row>
    <row r="9" customFormat="false" ht="15" hidden="false" customHeight="false" outlineLevel="0" collapsed="false">
      <c r="A9" s="17" t="s">
        <v>140</v>
      </c>
      <c r="B9" s="12"/>
      <c r="C9" s="14" t="n">
        <v>0</v>
      </c>
      <c r="D9" s="12" t="s">
        <v>134</v>
      </c>
      <c r="E9" s="15" t="n">
        <v>0</v>
      </c>
      <c r="F9" s="16" t="n">
        <f aca="false">1-E9</f>
        <v>1</v>
      </c>
      <c r="G9" s="18" t="n">
        <v>0</v>
      </c>
      <c r="H9" s="19" t="n">
        <f aca="false">IF(F9=0,1,0.3/F9)</f>
        <v>0.3</v>
      </c>
      <c r="I9" s="14" t="n">
        <f aca="false">G9*H9/12</f>
        <v>0</v>
      </c>
      <c r="J9" s="8" t="str">
        <f aca="false">IF(D9="Direct","DST Slabs","POSP RM Slabs")</f>
        <v>DST Slabs</v>
      </c>
      <c r="K9" s="12"/>
    </row>
    <row r="10" customFormat="false" ht="15" hidden="false" customHeight="false" outlineLevel="0" collapsed="false">
      <c r="A10" s="17" t="s">
        <v>141</v>
      </c>
      <c r="B10" s="12"/>
      <c r="C10" s="14" t="n">
        <v>0</v>
      </c>
      <c r="D10" s="12" t="s">
        <v>134</v>
      </c>
      <c r="E10" s="15" t="n">
        <v>0</v>
      </c>
      <c r="F10" s="16" t="n">
        <f aca="false">1-E10</f>
        <v>1</v>
      </c>
      <c r="G10" s="18" t="n">
        <v>0</v>
      </c>
      <c r="H10" s="19" t="n">
        <f aca="false">IF(F10=0,1,0.3/F10)</f>
        <v>0.3</v>
      </c>
      <c r="I10" s="14" t="n">
        <f aca="false">G10*H10/12</f>
        <v>0</v>
      </c>
      <c r="J10" s="8" t="str">
        <f aca="false">IF(D10="Direct","DST Slabs","POSP RM Slabs")</f>
        <v>DST Slabs</v>
      </c>
      <c r="K10" s="12"/>
    </row>
    <row r="11" customFormat="false" ht="15" hidden="false" customHeight="false" outlineLevel="0" collapsed="false">
      <c r="A11" s="17" t="s">
        <v>142</v>
      </c>
      <c r="B11" s="12"/>
      <c r="C11" s="14" t="n">
        <v>0</v>
      </c>
      <c r="D11" s="12" t="s">
        <v>134</v>
      </c>
      <c r="E11" s="15" t="n">
        <v>0</v>
      </c>
      <c r="F11" s="16" t="n">
        <f aca="false">1-E11</f>
        <v>1</v>
      </c>
      <c r="G11" s="18" t="n">
        <v>0</v>
      </c>
      <c r="H11" s="19" t="n">
        <f aca="false">IF(F11=0,1,0.3/F11)</f>
        <v>0.3</v>
      </c>
      <c r="I11" s="14" t="n">
        <f aca="false">G11*H11/12</f>
        <v>0</v>
      </c>
      <c r="J11" s="8" t="str">
        <f aca="false">IF(D11="Direct","DST Slabs","POSP RM Slabs")</f>
        <v>DST Slabs</v>
      </c>
      <c r="K11" s="12"/>
    </row>
    <row r="12" customFormat="false" ht="15" hidden="false" customHeight="false" outlineLevel="0" collapsed="false">
      <c r="A12" s="17" t="s">
        <v>143</v>
      </c>
      <c r="B12" s="12"/>
      <c r="C12" s="14" t="n">
        <v>0</v>
      </c>
      <c r="D12" s="12" t="s">
        <v>134</v>
      </c>
      <c r="E12" s="15" t="n">
        <v>0</v>
      </c>
      <c r="F12" s="16" t="n">
        <f aca="false">1-E12</f>
        <v>1</v>
      </c>
      <c r="G12" s="18" t="n">
        <v>0</v>
      </c>
      <c r="H12" s="19" t="n">
        <f aca="false">IF(F12=0,1,0.3/F12)</f>
        <v>0.3</v>
      </c>
      <c r="I12" s="14" t="n">
        <f aca="false">G12*H12/12</f>
        <v>0</v>
      </c>
      <c r="J12" s="8" t="str">
        <f aca="false">IF(D12="Direct","DST Slabs","POSP RM Slabs")</f>
        <v>DST Slabs</v>
      </c>
      <c r="K12" s="12"/>
    </row>
    <row r="13" customFormat="false" ht="15" hidden="false" customHeight="false" outlineLevel="0" collapsed="false">
      <c r="A13" s="17" t="s">
        <v>144</v>
      </c>
      <c r="B13" s="12"/>
      <c r="C13" s="14" t="n">
        <v>0</v>
      </c>
      <c r="D13" s="12" t="s">
        <v>134</v>
      </c>
      <c r="E13" s="15" t="n">
        <v>0</v>
      </c>
      <c r="F13" s="16" t="n">
        <f aca="false">1-E13</f>
        <v>1</v>
      </c>
      <c r="G13" s="18" t="n">
        <v>0</v>
      </c>
      <c r="H13" s="19" t="n">
        <f aca="false">IF(F13=0,1,0.3/F13)</f>
        <v>0.3</v>
      </c>
      <c r="I13" s="14" t="n">
        <f aca="false">G13*H13/12</f>
        <v>0</v>
      </c>
      <c r="J13" s="8" t="str">
        <f aca="false">IF(D13="Direct","DST Slabs","POSP RM Slabs")</f>
        <v>DST Slabs</v>
      </c>
      <c r="K13" s="12"/>
    </row>
    <row r="14" customFormat="false" ht="15" hidden="false" customHeight="false" outlineLevel="0" collapsed="false">
      <c r="A14" s="17" t="s">
        <v>145</v>
      </c>
      <c r="B14" s="12"/>
      <c r="C14" s="14" t="n">
        <v>0</v>
      </c>
      <c r="D14" s="12" t="s">
        <v>134</v>
      </c>
      <c r="E14" s="15" t="n">
        <v>0</v>
      </c>
      <c r="F14" s="16" t="n">
        <f aca="false">1-E14</f>
        <v>1</v>
      </c>
      <c r="G14" s="18" t="n">
        <v>0</v>
      </c>
      <c r="H14" s="19" t="n">
        <f aca="false">IF(F14=0,1,0.3/F14)</f>
        <v>0.3</v>
      </c>
      <c r="I14" s="14" t="n">
        <f aca="false">G14*H14/12</f>
        <v>0</v>
      </c>
      <c r="J14" s="8" t="str">
        <f aca="false">IF(D14="Direct","DST Slabs","POSP RM Slabs")</f>
        <v>DST Slabs</v>
      </c>
      <c r="K14" s="12"/>
    </row>
    <row r="15" customFormat="false" ht="15" hidden="false" customHeight="false" outlineLevel="0" collapsed="false">
      <c r="A15" s="17" t="s">
        <v>146</v>
      </c>
      <c r="B15" s="12"/>
      <c r="C15" s="14" t="n">
        <v>0</v>
      </c>
      <c r="D15" s="12" t="s">
        <v>134</v>
      </c>
      <c r="E15" s="15" t="n">
        <v>0</v>
      </c>
      <c r="F15" s="16" t="n">
        <f aca="false">1-E15</f>
        <v>1</v>
      </c>
      <c r="G15" s="18" t="n">
        <v>0</v>
      </c>
      <c r="H15" s="19" t="n">
        <f aca="false">IF(F15=0,1,0.3/F15)</f>
        <v>0.3</v>
      </c>
      <c r="I15" s="14" t="n">
        <f aca="false">G15*H15/12</f>
        <v>0</v>
      </c>
      <c r="J15" s="8" t="str">
        <f aca="false">IF(D15="Direct","DST Slabs","POSP RM Slabs")</f>
        <v>DST Slabs</v>
      </c>
      <c r="K15" s="12"/>
    </row>
    <row r="16" customFormat="false" ht="15" hidden="false" customHeight="false" outlineLevel="0" collapsed="false">
      <c r="A16" s="17" t="s">
        <v>147</v>
      </c>
      <c r="B16" s="12"/>
      <c r="C16" s="14" t="n">
        <v>0</v>
      </c>
      <c r="D16" s="12" t="s">
        <v>134</v>
      </c>
      <c r="E16" s="15" t="n">
        <v>0</v>
      </c>
      <c r="F16" s="16" t="n">
        <f aca="false">1-E16</f>
        <v>1</v>
      </c>
      <c r="G16" s="18" t="n">
        <v>0</v>
      </c>
      <c r="H16" s="19" t="n">
        <f aca="false">IF(F16=0,1,0.3/F16)</f>
        <v>0.3</v>
      </c>
      <c r="I16" s="14" t="n">
        <f aca="false">G16*H16/12</f>
        <v>0</v>
      </c>
      <c r="J16" s="8" t="str">
        <f aca="false">IF(D16="Direct","DST Slabs","POSP RM Slabs")</f>
        <v>DST Slabs</v>
      </c>
      <c r="K16" s="12"/>
    </row>
    <row r="17" customFormat="false" ht="15" hidden="false" customHeight="false" outlineLevel="0" collapsed="false">
      <c r="A17" s="17" t="s">
        <v>148</v>
      </c>
      <c r="B17" s="12"/>
      <c r="C17" s="14" t="n">
        <v>0</v>
      </c>
      <c r="D17" s="12" t="s">
        <v>134</v>
      </c>
      <c r="E17" s="15" t="n">
        <v>0</v>
      </c>
      <c r="F17" s="16" t="n">
        <f aca="false">1-E17</f>
        <v>1</v>
      </c>
      <c r="G17" s="18" t="n">
        <v>0</v>
      </c>
      <c r="H17" s="19" t="n">
        <f aca="false">IF(F17=0,1,0.3/F17)</f>
        <v>0.3</v>
      </c>
      <c r="I17" s="14" t="n">
        <f aca="false">G17*H17/12</f>
        <v>0</v>
      </c>
      <c r="J17" s="8" t="str">
        <f aca="false">IF(D17="Direct","DST Slabs","POSP RM Slabs")</f>
        <v>DST Slabs</v>
      </c>
      <c r="K17" s="12"/>
    </row>
    <row r="18" customFormat="false" ht="15" hidden="false" customHeight="false" outlineLevel="0" collapsed="false">
      <c r="A18" s="17" t="s">
        <v>149</v>
      </c>
      <c r="B18" s="12"/>
      <c r="C18" s="14" t="n">
        <v>0</v>
      </c>
      <c r="D18" s="12" t="s">
        <v>134</v>
      </c>
      <c r="E18" s="15" t="n">
        <v>0</v>
      </c>
      <c r="F18" s="16" t="n">
        <f aca="false">1-E18</f>
        <v>1</v>
      </c>
      <c r="G18" s="18" t="n">
        <v>0</v>
      </c>
      <c r="H18" s="19" t="n">
        <f aca="false">IF(F18=0,1,0.3/F18)</f>
        <v>0.3</v>
      </c>
      <c r="I18" s="14" t="n">
        <f aca="false">G18*H18/12</f>
        <v>0</v>
      </c>
      <c r="J18" s="8" t="str">
        <f aca="false">IF(D18="Direct","DST Slabs","POSP RM Slabs")</f>
        <v>DST Slabs</v>
      </c>
      <c r="K18" s="12"/>
    </row>
    <row r="19" customFormat="false" ht="15" hidden="false" customHeight="false" outlineLevel="0" collapsed="false">
      <c r="A19" s="17" t="s">
        <v>150</v>
      </c>
      <c r="B19" s="12"/>
      <c r="C19" s="14" t="n">
        <v>0</v>
      </c>
      <c r="D19" s="12" t="s">
        <v>134</v>
      </c>
      <c r="E19" s="15" t="n">
        <v>0</v>
      </c>
      <c r="F19" s="16" t="n">
        <f aca="false">1-E19</f>
        <v>1</v>
      </c>
      <c r="G19" s="18" t="n">
        <v>0</v>
      </c>
      <c r="H19" s="19" t="n">
        <f aca="false">IF(F19=0,1,0.3/F19)</f>
        <v>0.3</v>
      </c>
      <c r="I19" s="14" t="n">
        <f aca="false">G19*H19/12</f>
        <v>0</v>
      </c>
      <c r="J19" s="8" t="str">
        <f aca="false">IF(D19="Direct","DST Slabs","POSP RM Slabs")</f>
        <v>DST Slabs</v>
      </c>
      <c r="K19" s="12"/>
    </row>
    <row r="20" customFormat="false" ht="15" hidden="false" customHeight="false" outlineLevel="0" collapsed="false">
      <c r="A20" s="17" t="s">
        <v>151</v>
      </c>
      <c r="B20" s="12"/>
      <c r="C20" s="14" t="n">
        <v>0</v>
      </c>
      <c r="D20" s="12" t="s">
        <v>134</v>
      </c>
      <c r="E20" s="15" t="n">
        <v>0</v>
      </c>
      <c r="F20" s="16" t="n">
        <f aca="false">1-E20</f>
        <v>1</v>
      </c>
      <c r="G20" s="18" t="n">
        <v>0</v>
      </c>
      <c r="H20" s="19" t="n">
        <f aca="false">IF(F20=0,1,0.3/F20)</f>
        <v>0.3</v>
      </c>
      <c r="I20" s="14" t="n">
        <f aca="false">G20*H20/12</f>
        <v>0</v>
      </c>
      <c r="J20" s="8" t="str">
        <f aca="false">IF(D20="Direct","DST Slabs","POSP RM Slabs")</f>
        <v>DST Slabs</v>
      </c>
      <c r="K20" s="12"/>
    </row>
    <row r="21" customFormat="false" ht="15" hidden="false" customHeight="false" outlineLevel="0" collapsed="false">
      <c r="A21" s="17" t="s">
        <v>152</v>
      </c>
      <c r="B21" s="12"/>
      <c r="C21" s="14" t="n">
        <v>0</v>
      </c>
      <c r="D21" s="12" t="s">
        <v>134</v>
      </c>
      <c r="E21" s="15" t="n">
        <v>0</v>
      </c>
      <c r="F21" s="16" t="n">
        <f aca="false">1-E21</f>
        <v>1</v>
      </c>
      <c r="G21" s="18" t="n">
        <v>0</v>
      </c>
      <c r="H21" s="19" t="n">
        <f aca="false">IF(F21=0,1,0.3/F21)</f>
        <v>0.3</v>
      </c>
      <c r="I21" s="14" t="n">
        <f aca="false">G21*H21/12</f>
        <v>0</v>
      </c>
      <c r="J21" s="8" t="str">
        <f aca="false">IF(D21="Direct","DST Slabs","POSP RM Slabs")</f>
        <v>DST Slabs</v>
      </c>
      <c r="K21" s="12"/>
    </row>
    <row r="22" customFormat="false" ht="15" hidden="false" customHeight="false" outlineLevel="0" collapsed="false">
      <c r="A22" s="17" t="s">
        <v>153</v>
      </c>
      <c r="B22" s="12"/>
      <c r="C22" s="14" t="n">
        <v>0</v>
      </c>
      <c r="D22" s="12" t="s">
        <v>134</v>
      </c>
      <c r="E22" s="15" t="n">
        <v>0</v>
      </c>
      <c r="F22" s="16" t="n">
        <f aca="false">1-E22</f>
        <v>1</v>
      </c>
      <c r="G22" s="18" t="n">
        <v>0</v>
      </c>
      <c r="H22" s="19" t="n">
        <f aca="false">IF(F22=0,1,0.3/F22)</f>
        <v>0.3</v>
      </c>
      <c r="I22" s="14" t="n">
        <f aca="false">G22*H22/12</f>
        <v>0</v>
      </c>
      <c r="J22" s="8" t="str">
        <f aca="false">IF(D22="Direct","DST Slabs","POSP RM Slabs")</f>
        <v>DST Slabs</v>
      </c>
      <c r="K22" s="12"/>
    </row>
  </sheetData>
  <dataValidations count="1">
    <dataValidation allowBlank="true" errorStyle="stop" operator="between" showDropDown="false" showErrorMessage="false" showInputMessage="false" sqref="D3:D22" type="list">
      <formula1>"Direct,POSP,Sub-broker,Franchise,Digital Platform"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FF"/>
    <pageSetUpPr fitToPage="false"/>
  </sheetPr>
  <dimension ref="A1:R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0" width="8"/>
    <col collapsed="false" customWidth="true" hidden="false" outlineLevel="0" max="2" min="2" style="20" width="25"/>
    <col collapsed="false" customWidth="true" hidden="false" outlineLevel="0" max="3" min="3" style="20" width="12"/>
    <col collapsed="false" customWidth="true" hidden="false" outlineLevel="0" max="4" min="4" style="20" width="13"/>
    <col collapsed="false" customWidth="true" hidden="false" outlineLevel="0" max="5" min="5" style="20" width="25"/>
    <col collapsed="false" customWidth="true" hidden="false" outlineLevel="0" max="6" min="6" style="20" width="18"/>
    <col collapsed="false" customWidth="true" hidden="false" outlineLevel="0" max="7" min="7" style="20" width="20"/>
    <col collapsed="false" customWidth="true" hidden="false" outlineLevel="0" max="8" min="8" style="20" width="15"/>
    <col collapsed="false" customWidth="true" hidden="false" outlineLevel="0" max="9" min="9" style="20" width="10"/>
    <col collapsed="false" customWidth="true" hidden="false" outlineLevel="0" max="10" min="10" style="20" width="15"/>
    <col collapsed="false" customWidth="true" hidden="false" outlineLevel="0" max="11" min="11" style="20" width="14"/>
    <col collapsed="false" customWidth="true" hidden="false" outlineLevel="0" max="12" min="12" style="20" width="12"/>
    <col collapsed="false" customWidth="true" hidden="false" outlineLevel="0" max="15" min="13" style="20" width="15"/>
    <col collapsed="false" customWidth="true" hidden="false" outlineLevel="0" max="16" min="16" style="20" width="16"/>
  </cols>
  <sheetData>
    <row r="1" customFormat="false" ht="26.25" hidden="false" customHeight="true" outlineLevel="0" collapsed="false">
      <c r="A1" s="21" t="s">
        <v>154</v>
      </c>
      <c r="B1" s="21" t="s">
        <v>155</v>
      </c>
      <c r="C1" s="21" t="s">
        <v>156</v>
      </c>
      <c r="D1" s="21" t="s">
        <v>157</v>
      </c>
      <c r="E1" s="21" t="s">
        <v>158</v>
      </c>
      <c r="F1" s="21" t="s">
        <v>159</v>
      </c>
      <c r="G1" s="21" t="s">
        <v>160</v>
      </c>
      <c r="H1" s="21" t="s">
        <v>161</v>
      </c>
      <c r="I1" s="21" t="s">
        <v>162</v>
      </c>
      <c r="J1" s="21" t="s">
        <v>163</v>
      </c>
      <c r="K1" s="21" t="s">
        <v>164</v>
      </c>
      <c r="L1" s="21" t="s">
        <v>165</v>
      </c>
      <c r="M1" s="21" t="s">
        <v>166</v>
      </c>
      <c r="N1" s="21" t="s">
        <v>167</v>
      </c>
      <c r="O1" s="21" t="s">
        <v>168</v>
      </c>
      <c r="P1" s="21" t="s">
        <v>169</v>
      </c>
      <c r="Q1" s="22" t="s">
        <v>126</v>
      </c>
      <c r="R1" s="22" t="s">
        <v>170</v>
      </c>
    </row>
    <row r="2" customFormat="false" ht="15" hidden="false" customHeight="true" outlineLevel="0" collapsed="false">
      <c r="A2" s="20" t="n">
        <v>1</v>
      </c>
      <c r="B2" s="20" t="s">
        <v>133</v>
      </c>
      <c r="C2" s="20" t="s">
        <v>171</v>
      </c>
      <c r="D2" s="23" t="n">
        <v>41334</v>
      </c>
      <c r="E2" s="20" t="s">
        <v>172</v>
      </c>
      <c r="F2" s="20" t="s">
        <v>173</v>
      </c>
      <c r="G2" s="20" t="s">
        <v>174</v>
      </c>
      <c r="H2" s="24" t="n">
        <v>36017</v>
      </c>
      <c r="I2" s="20" t="s">
        <v>175</v>
      </c>
      <c r="J2" s="24" t="n">
        <f aca="false">H2*12</f>
        <v>432204</v>
      </c>
      <c r="K2" s="25" t="n">
        <f aca="true">YEARFRAC(D2,TODAY(),1)</f>
        <v>13.0772540582828</v>
      </c>
      <c r="M2" s="26" t="n">
        <v>6</v>
      </c>
      <c r="N2" s="24" t="n">
        <f aca="false">H2*M2</f>
        <v>216102</v>
      </c>
      <c r="O2" s="24" t="n">
        <f aca="false">N2*12</f>
        <v>2593224</v>
      </c>
      <c r="P2" s="24" t="n">
        <f aca="false">H2*1.6</f>
        <v>57627.2</v>
      </c>
      <c r="Q2" s="27" t="s">
        <v>134</v>
      </c>
      <c r="R2" s="28" t="s">
        <v>176</v>
      </c>
    </row>
    <row r="3" customFormat="false" ht="15" hidden="false" customHeight="true" outlineLevel="0" collapsed="false">
      <c r="A3" s="20" t="n">
        <v>2</v>
      </c>
      <c r="B3" s="20" t="s">
        <v>135</v>
      </c>
      <c r="C3" s="20" t="s">
        <v>177</v>
      </c>
      <c r="D3" s="23" t="n">
        <v>41897</v>
      </c>
      <c r="E3" s="20" t="s">
        <v>178</v>
      </c>
      <c r="F3" s="20" t="s">
        <v>173</v>
      </c>
      <c r="G3" s="20" t="s">
        <v>179</v>
      </c>
      <c r="H3" s="24" t="n">
        <v>21429</v>
      </c>
      <c r="I3" s="20" t="s">
        <v>175</v>
      </c>
      <c r="J3" s="24" t="n">
        <f aca="false">H3*12</f>
        <v>257148</v>
      </c>
      <c r="K3" s="25" t="n">
        <f aca="true">YEARFRAC(D3,TODAY(),1)</f>
        <v>11.5351727042965</v>
      </c>
      <c r="P3" s="24" t="n">
        <f aca="false">H3*1.6</f>
        <v>34286.4</v>
      </c>
      <c r="Q3" s="27" t="s">
        <v>180</v>
      </c>
      <c r="R3" s="28" t="s">
        <v>181</v>
      </c>
    </row>
    <row r="4" customFormat="false" ht="15" hidden="false" customHeight="true" outlineLevel="0" collapsed="false">
      <c r="A4" s="20" t="n">
        <v>3</v>
      </c>
      <c r="B4" s="20" t="s">
        <v>136</v>
      </c>
      <c r="C4" s="20" t="s">
        <v>182</v>
      </c>
      <c r="D4" s="23" t="n">
        <v>43496</v>
      </c>
      <c r="E4" s="20" t="s">
        <v>183</v>
      </c>
      <c r="F4" s="20" t="s">
        <v>184</v>
      </c>
      <c r="G4" s="20" t="s">
        <v>174</v>
      </c>
      <c r="H4" s="24" t="n">
        <v>99751</v>
      </c>
      <c r="I4" s="20" t="s">
        <v>185</v>
      </c>
      <c r="J4" s="24" t="n">
        <f aca="false">H4*12</f>
        <v>1197012</v>
      </c>
      <c r="K4" s="25" t="n">
        <f aca="true">YEARFRAC(D4,TODAY(),1)</f>
        <v>7.15674195756331</v>
      </c>
      <c r="M4" s="26" t="n">
        <v>6</v>
      </c>
      <c r="N4" s="24" t="n">
        <f aca="false">H4*M4</f>
        <v>598506</v>
      </c>
      <c r="O4" s="24" t="n">
        <f aca="false">N4*12</f>
        <v>7182072</v>
      </c>
      <c r="P4" s="24" t="n">
        <f aca="false">H4*1.6</f>
        <v>159601.6</v>
      </c>
      <c r="Q4" s="27" t="s">
        <v>134</v>
      </c>
      <c r="R4" s="28" t="s">
        <v>176</v>
      </c>
    </row>
    <row r="5" customFormat="false" ht="15" hidden="false" customHeight="true" outlineLevel="0" collapsed="false">
      <c r="A5" s="20" t="n">
        <v>4</v>
      </c>
      <c r="B5" s="20" t="s">
        <v>137</v>
      </c>
      <c r="C5" s="20" t="s">
        <v>186</v>
      </c>
      <c r="D5" s="23" t="n">
        <v>44075</v>
      </c>
      <c r="E5" s="20" t="s">
        <v>187</v>
      </c>
      <c r="F5" s="20" t="s">
        <v>188</v>
      </c>
      <c r="G5" s="20" t="s">
        <v>174</v>
      </c>
      <c r="H5" s="24" t="n">
        <v>22449</v>
      </c>
      <c r="I5" s="20" t="s">
        <v>185</v>
      </c>
      <c r="J5" s="24" t="n">
        <f aca="false">H5*12</f>
        <v>269388</v>
      </c>
      <c r="K5" s="25" t="n">
        <f aca="true">YEARFRAC(D5,TODAY(),1)</f>
        <v>5.57098161908487</v>
      </c>
      <c r="M5" s="26" t="n">
        <v>20</v>
      </c>
      <c r="N5" s="24" t="n">
        <f aca="false">H5*M5</f>
        <v>448980</v>
      </c>
      <c r="O5" s="24" t="n">
        <f aca="false">N5*12</f>
        <v>5387760</v>
      </c>
      <c r="P5" s="24" t="n">
        <f aca="false">H5*1.6</f>
        <v>35918.4</v>
      </c>
      <c r="Q5" s="27" t="s">
        <v>189</v>
      </c>
      <c r="R5" s="28" t="s">
        <v>190</v>
      </c>
    </row>
    <row r="6" customFormat="false" ht="15" hidden="false" customHeight="true" outlineLevel="0" collapsed="false">
      <c r="A6" s="20" t="n">
        <v>5</v>
      </c>
      <c r="B6" s="20" t="s">
        <v>138</v>
      </c>
      <c r="C6" s="20" t="s">
        <v>191</v>
      </c>
      <c r="D6" s="23" t="n">
        <v>44151</v>
      </c>
      <c r="E6" s="20" t="s">
        <v>192</v>
      </c>
      <c r="F6" s="20" t="s">
        <v>173</v>
      </c>
      <c r="G6" s="20" t="s">
        <v>193</v>
      </c>
      <c r="H6" s="24" t="n">
        <v>22263</v>
      </c>
      <c r="I6" s="20" t="s">
        <v>175</v>
      </c>
      <c r="J6" s="24" t="n">
        <f aca="false">H6*12</f>
        <v>267156</v>
      </c>
      <c r="K6" s="25" t="n">
        <f aca="true">YEARFRAC(D6,TODAY(),1)</f>
        <v>5.36292530308956</v>
      </c>
      <c r="P6" s="24" t="n">
        <f aca="false">H6*1.6</f>
        <v>35620.8</v>
      </c>
      <c r="Q6" s="27" t="s">
        <v>180</v>
      </c>
      <c r="R6" s="28" t="s">
        <v>181</v>
      </c>
    </row>
    <row r="7" customFormat="false" ht="15" hidden="false" customHeight="true" outlineLevel="0" collapsed="false">
      <c r="A7" s="20" t="n">
        <v>6</v>
      </c>
      <c r="B7" s="20" t="s">
        <v>139</v>
      </c>
      <c r="C7" s="20" t="s">
        <v>194</v>
      </c>
      <c r="D7" s="23" t="n">
        <v>44383</v>
      </c>
      <c r="E7" s="20" t="s">
        <v>195</v>
      </c>
      <c r="F7" s="20" t="s">
        <v>188</v>
      </c>
      <c r="G7" s="20" t="s">
        <v>174</v>
      </c>
      <c r="H7" s="24" t="n">
        <v>40440</v>
      </c>
      <c r="I7" s="20" t="s">
        <v>185</v>
      </c>
      <c r="J7" s="24" t="n">
        <f aca="false">H7*12</f>
        <v>485280</v>
      </c>
      <c r="K7" s="25" t="n">
        <f aca="true">YEARFRAC(D7,TODAY(),1)</f>
        <v>4.72934732998631</v>
      </c>
      <c r="M7" s="26" t="n">
        <v>20</v>
      </c>
      <c r="N7" s="24" t="n">
        <f aca="false">H7*M7</f>
        <v>808800</v>
      </c>
      <c r="O7" s="24" t="n">
        <f aca="false">N7*12</f>
        <v>9705600</v>
      </c>
      <c r="P7" s="24" t="n">
        <f aca="false">H7*1.6</f>
        <v>64704</v>
      </c>
      <c r="Q7" s="27" t="s">
        <v>189</v>
      </c>
      <c r="R7" s="28" t="s">
        <v>190</v>
      </c>
    </row>
    <row r="8" customFormat="false" ht="15" hidden="false" customHeight="true" outlineLevel="0" collapsed="false">
      <c r="A8" s="20" t="n">
        <v>7</v>
      </c>
      <c r="B8" s="20" t="s">
        <v>140</v>
      </c>
      <c r="C8" s="20" t="s">
        <v>196</v>
      </c>
      <c r="D8" s="23" t="n">
        <v>44386</v>
      </c>
      <c r="E8" s="20" t="s">
        <v>197</v>
      </c>
      <c r="F8" s="20" t="s">
        <v>173</v>
      </c>
      <c r="G8" s="20" t="s">
        <v>174</v>
      </c>
      <c r="H8" s="24" t="n">
        <v>30000</v>
      </c>
      <c r="I8" s="20" t="s">
        <v>175</v>
      </c>
      <c r="J8" s="24" t="n">
        <f aca="false">H8*12</f>
        <v>360000</v>
      </c>
      <c r="K8" s="25" t="n">
        <f aca="true">YEARFRAC(D8,TODAY(),1)</f>
        <v>4.72113190324053</v>
      </c>
      <c r="M8" s="26" t="n">
        <v>6</v>
      </c>
      <c r="N8" s="24" t="n">
        <f aca="false">H8*M8</f>
        <v>180000</v>
      </c>
      <c r="O8" s="24" t="n">
        <f aca="false">N8*12</f>
        <v>2160000</v>
      </c>
      <c r="P8" s="24" t="n">
        <f aca="false">H8*1.6</f>
        <v>48000</v>
      </c>
      <c r="Q8" s="27" t="s">
        <v>134</v>
      </c>
      <c r="R8" s="28" t="s">
        <v>176</v>
      </c>
    </row>
    <row r="9" customFormat="false" ht="15" hidden="false" customHeight="true" outlineLevel="0" collapsed="false">
      <c r="A9" s="20" t="n">
        <v>8</v>
      </c>
      <c r="B9" s="20" t="s">
        <v>141</v>
      </c>
      <c r="C9" s="20" t="s">
        <v>198</v>
      </c>
      <c r="D9" s="23" t="n">
        <v>44406</v>
      </c>
      <c r="E9" s="20" t="s">
        <v>192</v>
      </c>
      <c r="F9" s="20" t="s">
        <v>199</v>
      </c>
      <c r="G9" s="20" t="s">
        <v>193</v>
      </c>
      <c r="H9" s="24" t="n">
        <v>34500</v>
      </c>
      <c r="I9" s="20" t="s">
        <v>185</v>
      </c>
      <c r="J9" s="24" t="n">
        <f aca="false">H9*12</f>
        <v>414000</v>
      </c>
      <c r="K9" s="25" t="n">
        <f aca="true">YEARFRAC(D9,TODAY(),1)</f>
        <v>4.66636239160201</v>
      </c>
      <c r="P9" s="24" t="n">
        <f aca="false">H9*1.6</f>
        <v>55200</v>
      </c>
      <c r="Q9" s="27" t="s">
        <v>180</v>
      </c>
      <c r="R9" s="28" t="s">
        <v>181</v>
      </c>
    </row>
    <row r="10" customFormat="false" ht="15" hidden="false" customHeight="true" outlineLevel="0" collapsed="false">
      <c r="A10" s="20" t="n">
        <v>9</v>
      </c>
      <c r="B10" s="20" t="s">
        <v>142</v>
      </c>
      <c r="C10" s="20" t="s">
        <v>200</v>
      </c>
      <c r="D10" s="23" t="n">
        <v>44734</v>
      </c>
      <c r="E10" s="20" t="s">
        <v>201</v>
      </c>
      <c r="F10" s="20" t="s">
        <v>202</v>
      </c>
      <c r="G10" s="20" t="s">
        <v>174</v>
      </c>
      <c r="H10" s="24" t="n">
        <v>90000</v>
      </c>
      <c r="I10" s="20" t="s">
        <v>175</v>
      </c>
      <c r="J10" s="24" t="n">
        <f aca="false">H10*12</f>
        <v>1080000</v>
      </c>
      <c r="K10" s="25" t="n">
        <f aca="true">YEARFRAC(D10,TODAY(),1)</f>
        <v>3.76779846659365</v>
      </c>
      <c r="M10" s="26" t="n">
        <v>6</v>
      </c>
      <c r="N10" s="24" t="n">
        <f aca="false">H10*M10</f>
        <v>540000</v>
      </c>
      <c r="O10" s="24" t="n">
        <f aca="false">N10*12</f>
        <v>6480000</v>
      </c>
      <c r="P10" s="24" t="n">
        <f aca="false">H10*1.6</f>
        <v>144000</v>
      </c>
      <c r="Q10" s="27" t="s">
        <v>134</v>
      </c>
      <c r="R10" s="28" t="s">
        <v>176</v>
      </c>
    </row>
    <row r="11" customFormat="false" ht="15" hidden="false" customHeight="true" outlineLevel="0" collapsed="false">
      <c r="A11" s="20" t="n">
        <v>10</v>
      </c>
      <c r="B11" s="20" t="s">
        <v>143</v>
      </c>
      <c r="C11" s="20" t="s">
        <v>203</v>
      </c>
      <c r="D11" s="23" t="n">
        <v>44805</v>
      </c>
      <c r="E11" s="20" t="s">
        <v>192</v>
      </c>
      <c r="F11" s="20" t="s">
        <v>173</v>
      </c>
      <c r="G11" s="20" t="s">
        <v>193</v>
      </c>
      <c r="H11" s="24" t="n">
        <v>16749</v>
      </c>
      <c r="I11" s="20" t="s">
        <v>175</v>
      </c>
      <c r="J11" s="24" t="n">
        <f aca="false">H11*12</f>
        <v>200988</v>
      </c>
      <c r="K11" s="25" t="n">
        <f aca="true">YEARFRAC(D11,TODAY(),1)</f>
        <v>3.57338444687842</v>
      </c>
      <c r="P11" s="24" t="n">
        <f aca="false">H11*1.6</f>
        <v>26798.4</v>
      </c>
      <c r="Q11" s="27" t="s">
        <v>180</v>
      </c>
      <c r="R11" s="28" t="s">
        <v>181</v>
      </c>
    </row>
    <row r="12" customFormat="false" ht="15" hidden="false" customHeight="true" outlineLevel="0" collapsed="false">
      <c r="A12" s="20" t="n">
        <v>11</v>
      </c>
      <c r="B12" s="20" t="s">
        <v>144</v>
      </c>
      <c r="C12" s="20" t="s">
        <v>204</v>
      </c>
      <c r="D12" s="23" t="n">
        <v>44929</v>
      </c>
      <c r="E12" s="20" t="s">
        <v>205</v>
      </c>
      <c r="F12" s="20" t="s">
        <v>179</v>
      </c>
      <c r="G12" s="20" t="s">
        <v>206</v>
      </c>
      <c r="H12" s="24" t="n">
        <v>46876</v>
      </c>
      <c r="I12" s="20" t="s">
        <v>185</v>
      </c>
      <c r="J12" s="24" t="n">
        <f aca="false">H12*12</f>
        <v>562512</v>
      </c>
      <c r="K12" s="25" t="n">
        <f aca="true">YEARFRAC(D12,TODAY(),1)</f>
        <v>3.23340177960301</v>
      </c>
      <c r="P12" s="24" t="n">
        <f aca="false">H12*1.6</f>
        <v>75001.6</v>
      </c>
      <c r="Q12" s="27" t="s">
        <v>180</v>
      </c>
      <c r="R12" s="28" t="s">
        <v>181</v>
      </c>
    </row>
    <row r="13" customFormat="false" ht="15" hidden="false" customHeight="true" outlineLevel="0" collapsed="false">
      <c r="A13" s="20" t="n">
        <v>12</v>
      </c>
      <c r="B13" s="20" t="s">
        <v>145</v>
      </c>
      <c r="C13" s="20" t="s">
        <v>207</v>
      </c>
      <c r="D13" s="23" t="n">
        <v>44977</v>
      </c>
      <c r="E13" s="20" t="s">
        <v>208</v>
      </c>
      <c r="F13" s="20" t="s">
        <v>188</v>
      </c>
      <c r="G13" s="20" t="s">
        <v>209</v>
      </c>
      <c r="H13" s="24" t="n">
        <v>29700</v>
      </c>
      <c r="I13" s="20" t="s">
        <v>185</v>
      </c>
      <c r="J13" s="24" t="n">
        <f aca="false">H13*12</f>
        <v>356400</v>
      </c>
      <c r="K13" s="25" t="n">
        <f aca="true">YEARFRAC(D13,TODAY(),1)</f>
        <v>3.10198494182067</v>
      </c>
      <c r="P13" s="24" t="n">
        <f aca="false">H13*1.6</f>
        <v>47520</v>
      </c>
      <c r="Q13" s="27" t="s">
        <v>180</v>
      </c>
      <c r="R13" s="28" t="s">
        <v>181</v>
      </c>
    </row>
    <row r="14" customFormat="false" ht="15" hidden="false" customHeight="true" outlineLevel="0" collapsed="false">
      <c r="A14" s="20" t="n">
        <v>13</v>
      </c>
      <c r="B14" s="20" t="s">
        <v>146</v>
      </c>
      <c r="C14" s="20" t="s">
        <v>210</v>
      </c>
      <c r="D14" s="23" t="n">
        <v>45078</v>
      </c>
      <c r="E14" s="20" t="s">
        <v>195</v>
      </c>
      <c r="F14" s="20" t="s">
        <v>184</v>
      </c>
      <c r="G14" s="20" t="s">
        <v>174</v>
      </c>
      <c r="H14" s="24" t="n">
        <v>43700</v>
      </c>
      <c r="I14" s="20" t="s">
        <v>185</v>
      </c>
      <c r="J14" s="24" t="n">
        <f aca="false">H14*12</f>
        <v>524400</v>
      </c>
      <c r="K14" s="25" t="n">
        <f aca="true">YEARFRAC(D14,TODAY(),1)</f>
        <v>2.82546201232033</v>
      </c>
      <c r="M14" s="26" t="n">
        <v>20</v>
      </c>
      <c r="N14" s="24" t="n">
        <f aca="false">H14*M14</f>
        <v>874000</v>
      </c>
      <c r="O14" s="24" t="n">
        <f aca="false">N14*12</f>
        <v>10488000</v>
      </c>
      <c r="P14" s="24" t="n">
        <f aca="false">H14*1.6</f>
        <v>69920</v>
      </c>
      <c r="Q14" s="27" t="s">
        <v>189</v>
      </c>
      <c r="R14" s="28" t="s">
        <v>190</v>
      </c>
    </row>
    <row r="15" customFormat="false" ht="15" hidden="false" customHeight="true" outlineLevel="0" collapsed="false">
      <c r="A15" s="20" t="n">
        <v>14</v>
      </c>
      <c r="B15" s="20" t="s">
        <v>147</v>
      </c>
      <c r="C15" s="20" t="s">
        <v>211</v>
      </c>
      <c r="D15" s="23" t="n">
        <v>45202</v>
      </c>
      <c r="E15" s="20" t="s">
        <v>192</v>
      </c>
      <c r="F15" s="20" t="s">
        <v>173</v>
      </c>
      <c r="G15" s="20" t="s">
        <v>193</v>
      </c>
      <c r="H15" s="24" t="n">
        <v>14858</v>
      </c>
      <c r="I15" s="20" t="s">
        <v>175</v>
      </c>
      <c r="J15" s="24" t="n">
        <f aca="false">H15*12</f>
        <v>178296</v>
      </c>
      <c r="K15" s="25" t="n">
        <f aca="true">YEARFRAC(D15,TODAY(),1)</f>
        <v>2.48596851471595</v>
      </c>
      <c r="P15" s="24" t="n">
        <f aca="false">H15*1.6</f>
        <v>23772.8</v>
      </c>
      <c r="Q15" s="27" t="s">
        <v>180</v>
      </c>
      <c r="R15" s="28" t="s">
        <v>181</v>
      </c>
    </row>
    <row r="16" customFormat="false" ht="15" hidden="false" customHeight="true" outlineLevel="0" collapsed="false">
      <c r="A16" s="20" t="n">
        <v>15</v>
      </c>
      <c r="B16" s="20" t="s">
        <v>148</v>
      </c>
      <c r="C16" s="20" t="s">
        <v>212</v>
      </c>
      <c r="D16" s="23" t="n">
        <v>45204</v>
      </c>
      <c r="E16" s="20" t="s">
        <v>213</v>
      </c>
      <c r="F16" s="20" t="s">
        <v>199</v>
      </c>
      <c r="G16" s="20" t="s">
        <v>174</v>
      </c>
      <c r="H16" s="24" t="n">
        <v>103500</v>
      </c>
      <c r="I16" s="20" t="s">
        <v>185</v>
      </c>
      <c r="J16" s="24" t="n">
        <f aca="false">H16*12</f>
        <v>1242000</v>
      </c>
      <c r="K16" s="25" t="n">
        <f aca="true">YEARFRAC(D16,TODAY(),1)</f>
        <v>2.48049281314168</v>
      </c>
      <c r="M16" s="26" t="n">
        <v>23</v>
      </c>
      <c r="N16" s="24" t="n">
        <f aca="false">H16*M16</f>
        <v>2380500</v>
      </c>
      <c r="O16" s="24" t="n">
        <f aca="false">N16*12</f>
        <v>28566000</v>
      </c>
      <c r="P16" s="24" t="n">
        <f aca="false">H16*1.6</f>
        <v>165600</v>
      </c>
      <c r="Q16" s="27" t="s">
        <v>214</v>
      </c>
      <c r="R16" s="28" t="s">
        <v>215</v>
      </c>
    </row>
    <row r="17" customFormat="false" ht="15" hidden="false" customHeight="true" outlineLevel="0" collapsed="false">
      <c r="A17" s="20" t="n">
        <v>16</v>
      </c>
      <c r="B17" s="20" t="s">
        <v>149</v>
      </c>
      <c r="C17" s="20" t="s">
        <v>216</v>
      </c>
      <c r="D17" s="23" t="n">
        <v>45337</v>
      </c>
      <c r="E17" s="20" t="s">
        <v>217</v>
      </c>
      <c r="F17" s="20" t="s">
        <v>218</v>
      </c>
      <c r="G17" s="20" t="s">
        <v>179</v>
      </c>
      <c r="H17" s="24" t="n">
        <v>54000</v>
      </c>
      <c r="I17" s="20" t="s">
        <v>175</v>
      </c>
      <c r="J17" s="24" t="n">
        <f aca="false">H17*12</f>
        <v>648000</v>
      </c>
      <c r="K17" s="25" t="n">
        <f aca="true">YEARFRAC(D17,TODAY(),1)</f>
        <v>2.11587591240876</v>
      </c>
      <c r="P17" s="24" t="n">
        <f aca="false">H17*1.6</f>
        <v>86400</v>
      </c>
      <c r="Q17" s="27" t="s">
        <v>180</v>
      </c>
      <c r="R17" s="28" t="s">
        <v>181</v>
      </c>
    </row>
    <row r="18" customFormat="false" ht="15" hidden="false" customHeight="true" outlineLevel="0" collapsed="false">
      <c r="A18" s="20" t="n">
        <v>17</v>
      </c>
      <c r="B18" s="20" t="s">
        <v>150</v>
      </c>
      <c r="C18" s="20" t="s">
        <v>219</v>
      </c>
      <c r="D18" s="23" t="n">
        <v>45444</v>
      </c>
      <c r="E18" s="20" t="s">
        <v>192</v>
      </c>
      <c r="F18" s="20" t="s">
        <v>199</v>
      </c>
      <c r="G18" s="20" t="s">
        <v>193</v>
      </c>
      <c r="H18" s="24" t="n">
        <v>15691</v>
      </c>
      <c r="I18" s="20" t="s">
        <v>185</v>
      </c>
      <c r="J18" s="24" t="n">
        <f aca="false">H18*12</f>
        <v>188292</v>
      </c>
      <c r="K18" s="25" t="n">
        <f aca="true">YEARFRAC(D18,TODAY(),1)</f>
        <v>1.82299270072993</v>
      </c>
      <c r="P18" s="24" t="n">
        <f aca="false">H18*1.6</f>
        <v>25105.6</v>
      </c>
      <c r="Q18" s="27" t="s">
        <v>180</v>
      </c>
      <c r="R18" s="28" t="s">
        <v>181</v>
      </c>
    </row>
    <row r="19" customFormat="false" ht="15" hidden="false" customHeight="true" outlineLevel="0" collapsed="false">
      <c r="A19" s="20" t="n">
        <v>18</v>
      </c>
      <c r="B19" s="20" t="s">
        <v>151</v>
      </c>
      <c r="C19" s="20" t="s">
        <v>220</v>
      </c>
      <c r="D19" s="23" t="n">
        <v>45474</v>
      </c>
      <c r="E19" s="20" t="s">
        <v>192</v>
      </c>
      <c r="F19" s="20" t="s">
        <v>173</v>
      </c>
      <c r="G19" s="20" t="s">
        <v>174</v>
      </c>
      <c r="H19" s="24" t="n">
        <v>18011</v>
      </c>
      <c r="I19" s="20" t="s">
        <v>175</v>
      </c>
      <c r="J19" s="24" t="n">
        <f aca="false">H19*12</f>
        <v>216132</v>
      </c>
      <c r="K19" s="25" t="n">
        <f aca="true">YEARFRAC(D19,TODAY(),1)</f>
        <v>1.74087591240876</v>
      </c>
      <c r="M19" s="26" t="n">
        <v>6</v>
      </c>
      <c r="N19" s="24" t="n">
        <f aca="false">H19*M19</f>
        <v>108066</v>
      </c>
      <c r="O19" s="24" t="n">
        <f aca="false">N19*12</f>
        <v>1296792</v>
      </c>
      <c r="P19" s="24" t="n">
        <f aca="false">H19*1.6</f>
        <v>28817.6</v>
      </c>
      <c r="Q19" s="27" t="s">
        <v>134</v>
      </c>
      <c r="R19" s="28" t="s">
        <v>176</v>
      </c>
    </row>
    <row r="20" customFormat="false" ht="15" hidden="false" customHeight="true" outlineLevel="0" collapsed="false">
      <c r="A20" s="20" t="n">
        <v>19</v>
      </c>
      <c r="B20" s="20" t="s">
        <v>152</v>
      </c>
      <c r="C20" s="20" t="s">
        <v>221</v>
      </c>
      <c r="D20" s="23" t="n">
        <v>45474</v>
      </c>
      <c r="E20" s="20" t="s">
        <v>192</v>
      </c>
      <c r="F20" s="20" t="s">
        <v>173</v>
      </c>
      <c r="G20" s="20" t="s">
        <v>193</v>
      </c>
      <c r="H20" s="24" t="n">
        <v>22449</v>
      </c>
      <c r="I20" s="20" t="s">
        <v>175</v>
      </c>
      <c r="J20" s="24" t="n">
        <f aca="false">H20*12</f>
        <v>269388</v>
      </c>
      <c r="K20" s="25" t="n">
        <f aca="true">YEARFRAC(D20,TODAY(),1)</f>
        <v>1.74087591240876</v>
      </c>
      <c r="P20" s="24" t="n">
        <f aca="false">H20*1.6</f>
        <v>35918.4</v>
      </c>
      <c r="Q20" s="27" t="s">
        <v>180</v>
      </c>
      <c r="R20" s="28" t="s">
        <v>181</v>
      </c>
    </row>
    <row r="21" customFormat="false" ht="15" hidden="false" customHeight="true" outlineLevel="0" collapsed="false">
      <c r="A21" s="20" t="n">
        <v>20</v>
      </c>
      <c r="B21" s="20" t="s">
        <v>153</v>
      </c>
      <c r="C21" s="20" t="s">
        <v>222</v>
      </c>
      <c r="D21" s="23" t="n">
        <v>45474</v>
      </c>
      <c r="E21" s="20" t="s">
        <v>223</v>
      </c>
      <c r="F21" s="20" t="s">
        <v>224</v>
      </c>
      <c r="G21" s="20" t="s">
        <v>174</v>
      </c>
      <c r="H21" s="24" t="n">
        <v>27008</v>
      </c>
      <c r="I21" s="20" t="s">
        <v>175</v>
      </c>
      <c r="J21" s="24" t="n">
        <f aca="false">H21*12</f>
        <v>324096</v>
      </c>
      <c r="K21" s="25" t="n">
        <f aca="true">YEARFRAC(D21,TODAY(),1)</f>
        <v>1.74087591240876</v>
      </c>
      <c r="M21" s="26" t="n">
        <v>6</v>
      </c>
      <c r="N21" s="24" t="n">
        <f aca="false">H21*M21</f>
        <v>162048</v>
      </c>
      <c r="O21" s="24" t="n">
        <f aca="false">N21*12</f>
        <v>1944576</v>
      </c>
      <c r="P21" s="24" t="n">
        <f aca="false">H21*1.6</f>
        <v>43212.8</v>
      </c>
      <c r="Q21" s="27" t="s">
        <v>134</v>
      </c>
      <c r="R21" s="28" t="s">
        <v>176</v>
      </c>
    </row>
    <row r="22" customFormat="false" ht="15" hidden="false" customHeight="true" outlineLevel="0" collapsed="false">
      <c r="A22" s="20" t="n">
        <v>21</v>
      </c>
      <c r="B22" s="20" t="s">
        <v>225</v>
      </c>
      <c r="C22" s="20" t="s">
        <v>226</v>
      </c>
      <c r="D22" s="23" t="n">
        <v>45474</v>
      </c>
      <c r="E22" s="20" t="s">
        <v>195</v>
      </c>
      <c r="F22" s="20" t="s">
        <v>202</v>
      </c>
      <c r="G22" s="20" t="s">
        <v>174</v>
      </c>
      <c r="H22" s="24" t="n">
        <v>43200</v>
      </c>
      <c r="I22" s="20" t="s">
        <v>185</v>
      </c>
      <c r="J22" s="24" t="n">
        <f aca="false">H22*12</f>
        <v>518400</v>
      </c>
      <c r="K22" s="25" t="n">
        <f aca="true">YEARFRAC(D22,TODAY(),1)</f>
        <v>1.74087591240876</v>
      </c>
      <c r="M22" s="26" t="n">
        <v>6</v>
      </c>
      <c r="N22" s="24" t="n">
        <f aca="false">H22*M22</f>
        <v>259200</v>
      </c>
      <c r="O22" s="24" t="n">
        <f aca="false">N22*12</f>
        <v>3110400</v>
      </c>
      <c r="P22" s="24" t="n">
        <f aca="false">H22*1.6</f>
        <v>69120</v>
      </c>
      <c r="Q22" s="27" t="s">
        <v>134</v>
      </c>
      <c r="R22" s="28" t="s">
        <v>176</v>
      </c>
    </row>
    <row r="23" customFormat="false" ht="15" hidden="false" customHeight="true" outlineLevel="0" collapsed="false">
      <c r="A23" s="20" t="n">
        <v>22</v>
      </c>
      <c r="B23" s="20" t="s">
        <v>227</v>
      </c>
      <c r="C23" s="20" t="s">
        <v>228</v>
      </c>
      <c r="D23" s="23" t="n">
        <v>45523</v>
      </c>
      <c r="E23" s="20" t="s">
        <v>229</v>
      </c>
      <c r="F23" s="20" t="s">
        <v>230</v>
      </c>
      <c r="G23" s="20" t="s">
        <v>174</v>
      </c>
      <c r="H23" s="24" t="n">
        <v>28200</v>
      </c>
      <c r="I23" s="20" t="s">
        <v>175</v>
      </c>
      <c r="J23" s="24" t="n">
        <f aca="false">H23*12</f>
        <v>338400</v>
      </c>
      <c r="K23" s="25" t="n">
        <f aca="true">YEARFRAC(D23,TODAY(),1)</f>
        <v>1.60675182481752</v>
      </c>
      <c r="M23" s="26" t="n">
        <v>6</v>
      </c>
      <c r="N23" s="24" t="n">
        <f aca="false">H23*M23</f>
        <v>169200</v>
      </c>
      <c r="O23" s="24" t="n">
        <f aca="false">N23*12</f>
        <v>2030400</v>
      </c>
      <c r="P23" s="24" t="n">
        <f aca="false">H23*1.6</f>
        <v>45120</v>
      </c>
      <c r="Q23" s="27" t="s">
        <v>134</v>
      </c>
      <c r="R23" s="28" t="s">
        <v>176</v>
      </c>
    </row>
    <row r="24" customFormat="false" ht="15" hidden="false" customHeight="true" outlineLevel="0" collapsed="false">
      <c r="A24" s="20" t="n">
        <v>23</v>
      </c>
      <c r="B24" s="20" t="s">
        <v>231</v>
      </c>
      <c r="C24" s="20" t="s">
        <v>232</v>
      </c>
      <c r="D24" s="23" t="n">
        <v>45537</v>
      </c>
      <c r="E24" s="20" t="s">
        <v>233</v>
      </c>
      <c r="F24" s="20" t="s">
        <v>202</v>
      </c>
      <c r="G24" s="20" t="s">
        <v>174</v>
      </c>
      <c r="H24" s="24" t="n">
        <v>28200</v>
      </c>
      <c r="I24" s="20" t="s">
        <v>175</v>
      </c>
      <c r="J24" s="24" t="n">
        <f aca="false">H24*12</f>
        <v>338400</v>
      </c>
      <c r="K24" s="25" t="n">
        <f aca="true">YEARFRAC(D24,TODAY(),1)</f>
        <v>1.56843065693431</v>
      </c>
      <c r="M24" s="26" t="n">
        <v>6</v>
      </c>
      <c r="N24" s="24" t="n">
        <f aca="false">H24*M24</f>
        <v>169200</v>
      </c>
      <c r="O24" s="24" t="n">
        <f aca="false">N24*12</f>
        <v>2030400</v>
      </c>
      <c r="P24" s="24" t="n">
        <f aca="false">H24*1.6</f>
        <v>45120</v>
      </c>
      <c r="Q24" s="27" t="s">
        <v>134</v>
      </c>
      <c r="R24" s="28" t="s">
        <v>176</v>
      </c>
    </row>
    <row r="25" customFormat="false" ht="15" hidden="false" customHeight="true" outlineLevel="0" collapsed="false">
      <c r="A25" s="20" t="n">
        <v>24</v>
      </c>
      <c r="B25" s="20" t="s">
        <v>234</v>
      </c>
      <c r="C25" s="20" t="s">
        <v>235</v>
      </c>
      <c r="D25" s="23" t="n">
        <v>45600</v>
      </c>
      <c r="E25" s="20" t="s">
        <v>192</v>
      </c>
      <c r="F25" s="20" t="s">
        <v>188</v>
      </c>
      <c r="G25" s="20" t="s">
        <v>209</v>
      </c>
      <c r="H25" s="24" t="n">
        <v>23200</v>
      </c>
      <c r="I25" s="20" t="s">
        <v>185</v>
      </c>
      <c r="J25" s="24" t="n">
        <f aca="false">H25*12</f>
        <v>278400</v>
      </c>
      <c r="K25" s="25" t="n">
        <f aca="true">YEARFRAC(D25,TODAY(),1)</f>
        <v>1.39598540145985</v>
      </c>
      <c r="P25" s="24" t="n">
        <f aca="false">H25*1.6</f>
        <v>37120</v>
      </c>
      <c r="Q25" s="27" t="s">
        <v>180</v>
      </c>
      <c r="R25" s="28" t="s">
        <v>181</v>
      </c>
    </row>
    <row r="26" customFormat="false" ht="15" hidden="false" customHeight="true" outlineLevel="0" collapsed="false">
      <c r="A26" s="20" t="n">
        <v>25</v>
      </c>
      <c r="B26" s="20" t="s">
        <v>236</v>
      </c>
      <c r="C26" s="20" t="s">
        <v>237</v>
      </c>
      <c r="D26" s="23" t="n">
        <v>45600</v>
      </c>
      <c r="E26" s="20" t="s">
        <v>192</v>
      </c>
      <c r="F26" s="20" t="s">
        <v>188</v>
      </c>
      <c r="G26" s="20" t="s">
        <v>209</v>
      </c>
      <c r="H26" s="24" t="n">
        <v>23200</v>
      </c>
      <c r="I26" s="20" t="s">
        <v>185</v>
      </c>
      <c r="J26" s="24" t="n">
        <f aca="false">H26*12</f>
        <v>278400</v>
      </c>
      <c r="K26" s="25" t="n">
        <f aca="true">YEARFRAC(D26,TODAY(),1)</f>
        <v>1.39598540145985</v>
      </c>
      <c r="P26" s="24" t="n">
        <f aca="false">H26*1.6</f>
        <v>37120</v>
      </c>
      <c r="Q26" s="27" t="s">
        <v>180</v>
      </c>
      <c r="R26" s="28" t="s">
        <v>181</v>
      </c>
    </row>
    <row r="27" customFormat="false" ht="15" hidden="false" customHeight="true" outlineLevel="0" collapsed="false">
      <c r="A27" s="20" t="n">
        <v>26</v>
      </c>
      <c r="B27" s="20" t="s">
        <v>238</v>
      </c>
      <c r="C27" s="20" t="s">
        <v>239</v>
      </c>
      <c r="D27" s="23" t="n">
        <v>45601</v>
      </c>
      <c r="E27" s="20" t="s">
        <v>240</v>
      </c>
      <c r="F27" s="20" t="s">
        <v>230</v>
      </c>
      <c r="G27" s="20" t="s">
        <v>174</v>
      </c>
      <c r="H27" s="24" t="n">
        <v>13286</v>
      </c>
      <c r="I27" s="20" t="s">
        <v>175</v>
      </c>
      <c r="J27" s="24" t="n">
        <f aca="false">H27*12</f>
        <v>159432</v>
      </c>
      <c r="K27" s="25" t="n">
        <f aca="true">YEARFRAC(D27,TODAY(),1)</f>
        <v>1.39324817518248</v>
      </c>
      <c r="M27" s="26" t="n">
        <v>6</v>
      </c>
      <c r="N27" s="24" t="n">
        <f aca="false">H27*M27</f>
        <v>79716</v>
      </c>
      <c r="O27" s="24" t="n">
        <f aca="false">N27*12</f>
        <v>956592</v>
      </c>
      <c r="P27" s="24" t="n">
        <f aca="false">H27*1.6</f>
        <v>21257.6</v>
      </c>
      <c r="Q27" s="27" t="s">
        <v>134</v>
      </c>
      <c r="R27" s="28" t="s">
        <v>176</v>
      </c>
    </row>
    <row r="28" customFormat="false" ht="15" hidden="false" customHeight="true" outlineLevel="0" collapsed="false">
      <c r="A28" s="20" t="n">
        <v>27</v>
      </c>
      <c r="B28" s="20" t="s">
        <v>241</v>
      </c>
      <c r="C28" s="20" t="s">
        <v>242</v>
      </c>
      <c r="D28" s="23" t="n">
        <v>45610</v>
      </c>
      <c r="E28" s="20" t="s">
        <v>195</v>
      </c>
      <c r="F28" s="20" t="s">
        <v>202</v>
      </c>
      <c r="G28" s="20" t="s">
        <v>174</v>
      </c>
      <c r="H28" s="24" t="n">
        <v>23200</v>
      </c>
      <c r="I28" s="20" t="s">
        <v>175</v>
      </c>
      <c r="J28" s="24" t="n">
        <f aca="false">H28*12</f>
        <v>278400</v>
      </c>
      <c r="K28" s="25" t="n">
        <f aca="true">YEARFRAC(D28,TODAY(),1)</f>
        <v>1.36861313868613</v>
      </c>
      <c r="M28" s="26" t="n">
        <v>6</v>
      </c>
      <c r="N28" s="24" t="n">
        <f aca="false">H28*M28</f>
        <v>139200</v>
      </c>
      <c r="O28" s="24" t="n">
        <f aca="false">N28*12</f>
        <v>1670400</v>
      </c>
      <c r="P28" s="24" t="n">
        <f aca="false">H28*1.6</f>
        <v>37120</v>
      </c>
      <c r="Q28" s="27" t="s">
        <v>134</v>
      </c>
      <c r="R28" s="28" t="s">
        <v>176</v>
      </c>
    </row>
    <row r="29" customFormat="false" ht="15" hidden="false" customHeight="true" outlineLevel="0" collapsed="false">
      <c r="A29" s="20" t="n">
        <v>28</v>
      </c>
      <c r="B29" s="20" t="s">
        <v>243</v>
      </c>
      <c r="C29" s="20" t="s">
        <v>244</v>
      </c>
      <c r="D29" s="23" t="n">
        <v>45664</v>
      </c>
      <c r="E29" s="20" t="s">
        <v>245</v>
      </c>
      <c r="F29" s="20" t="s">
        <v>184</v>
      </c>
      <c r="G29" s="20" t="s">
        <v>174</v>
      </c>
      <c r="H29" s="24" t="n">
        <v>38200</v>
      </c>
      <c r="I29" s="20" t="s">
        <v>185</v>
      </c>
      <c r="J29" s="24" t="n">
        <f aca="false">H29*12</f>
        <v>458400</v>
      </c>
      <c r="K29" s="25" t="n">
        <f aca="true">YEARFRAC(D29,TODAY(),1)</f>
        <v>1.22191780821918</v>
      </c>
      <c r="M29" s="26" t="n">
        <v>6</v>
      </c>
      <c r="N29" s="24" t="n">
        <f aca="false">H29*M29</f>
        <v>229200</v>
      </c>
      <c r="O29" s="24" t="n">
        <f aca="false">N29*12</f>
        <v>2750400</v>
      </c>
      <c r="P29" s="24" t="n">
        <f aca="false">H29*1.6</f>
        <v>61120</v>
      </c>
      <c r="Q29" s="27" t="s">
        <v>134</v>
      </c>
      <c r="R29" s="28" t="s">
        <v>176</v>
      </c>
    </row>
    <row r="30" customFormat="false" ht="15" hidden="false" customHeight="true" outlineLevel="0" collapsed="false">
      <c r="A30" s="20" t="n">
        <v>29</v>
      </c>
      <c r="B30" s="20" t="s">
        <v>246</v>
      </c>
      <c r="C30" s="20" t="s">
        <v>247</v>
      </c>
      <c r="D30" s="23" t="n">
        <v>45719</v>
      </c>
      <c r="E30" s="20" t="s">
        <v>192</v>
      </c>
      <c r="F30" s="20" t="s">
        <v>173</v>
      </c>
      <c r="G30" s="20" t="s">
        <v>193</v>
      </c>
      <c r="H30" s="24" t="n">
        <v>16600</v>
      </c>
      <c r="I30" s="20" t="s">
        <v>175</v>
      </c>
      <c r="J30" s="24" t="n">
        <f aca="false">H30*12</f>
        <v>199200</v>
      </c>
      <c r="K30" s="25" t="n">
        <f aca="true">YEARFRAC(D30,TODAY(),1)</f>
        <v>1.07123287671233</v>
      </c>
      <c r="P30" s="24" t="n">
        <f aca="false">H30*1.6</f>
        <v>26560</v>
      </c>
      <c r="Q30" s="27" t="s">
        <v>180</v>
      </c>
      <c r="R30" s="28" t="s">
        <v>181</v>
      </c>
    </row>
    <row r="31" customFormat="false" ht="15" hidden="false" customHeight="true" outlineLevel="0" collapsed="false">
      <c r="A31" s="20" t="n">
        <v>30</v>
      </c>
      <c r="B31" s="20" t="s">
        <v>248</v>
      </c>
      <c r="C31" s="20" t="s">
        <v>249</v>
      </c>
      <c r="D31" s="23" t="n">
        <v>45754</v>
      </c>
      <c r="E31" s="20" t="s">
        <v>250</v>
      </c>
      <c r="F31" s="20" t="s">
        <v>188</v>
      </c>
      <c r="G31" s="20" t="s">
        <v>174</v>
      </c>
      <c r="H31" s="24" t="n">
        <v>48200</v>
      </c>
      <c r="I31" s="20" t="s">
        <v>185</v>
      </c>
      <c r="J31" s="24" t="n">
        <f aca="false">H31*12</f>
        <v>578400</v>
      </c>
      <c r="K31" s="25" t="n">
        <f aca="true">YEARFRAC(D31,TODAY(),1)</f>
        <v>0.975342465753425</v>
      </c>
      <c r="M31" s="26" t="n">
        <v>6</v>
      </c>
      <c r="N31" s="24" t="n">
        <f aca="false">H31*M31</f>
        <v>289200</v>
      </c>
      <c r="O31" s="24" t="n">
        <f aca="false">N31*12</f>
        <v>3470400</v>
      </c>
      <c r="P31" s="24" t="n">
        <f aca="false">H31*1.6</f>
        <v>77120</v>
      </c>
      <c r="Q31" s="27" t="s">
        <v>134</v>
      </c>
      <c r="R31" s="28" t="s">
        <v>176</v>
      </c>
    </row>
    <row r="32" customFormat="false" ht="15" hidden="false" customHeight="true" outlineLevel="0" collapsed="false">
      <c r="A32" s="20" t="n">
        <v>31</v>
      </c>
      <c r="B32" s="20" t="s">
        <v>251</v>
      </c>
      <c r="C32" s="20" t="s">
        <v>252</v>
      </c>
      <c r="D32" s="23" t="n">
        <v>45763</v>
      </c>
      <c r="E32" s="20" t="s">
        <v>192</v>
      </c>
      <c r="F32" s="20" t="s">
        <v>173</v>
      </c>
      <c r="G32" s="20" t="s">
        <v>193</v>
      </c>
      <c r="H32" s="24" t="n">
        <v>9842</v>
      </c>
      <c r="I32" s="20" t="s">
        <v>185</v>
      </c>
      <c r="J32" s="24" t="n">
        <f aca="false">H32*12</f>
        <v>118104</v>
      </c>
      <c r="K32" s="25" t="n">
        <f aca="true">YEARFRAC(D32,TODAY(),1)</f>
        <v>0.950684931506849</v>
      </c>
      <c r="P32" s="24" t="n">
        <f aca="false">H32*1.6</f>
        <v>15747.2</v>
      </c>
      <c r="Q32" s="27" t="s">
        <v>180</v>
      </c>
      <c r="R32" s="28" t="s">
        <v>181</v>
      </c>
    </row>
    <row r="33" customFormat="false" ht="15" hidden="false" customHeight="true" outlineLevel="0" collapsed="false">
      <c r="A33" s="20" t="n">
        <v>32</v>
      </c>
      <c r="B33" s="20" t="s">
        <v>253</v>
      </c>
      <c r="C33" s="20" t="s">
        <v>254</v>
      </c>
      <c r="D33" s="23" t="n">
        <v>45763</v>
      </c>
      <c r="E33" s="20" t="s">
        <v>255</v>
      </c>
      <c r="F33" s="20" t="s">
        <v>173</v>
      </c>
      <c r="G33" s="20" t="s">
        <v>174</v>
      </c>
      <c r="H33" s="24" t="n">
        <v>16209</v>
      </c>
      <c r="I33" s="20" t="s">
        <v>185</v>
      </c>
      <c r="J33" s="24" t="n">
        <f aca="false">H33*12</f>
        <v>194508</v>
      </c>
      <c r="K33" s="25" t="n">
        <f aca="true">YEARFRAC(D33,TODAY(),1)</f>
        <v>0.950684931506849</v>
      </c>
      <c r="M33" s="26" t="n">
        <v>6</v>
      </c>
      <c r="N33" s="24" t="n">
        <f aca="false">H33*M33</f>
        <v>97254</v>
      </c>
      <c r="O33" s="24" t="n">
        <f aca="false">N33*12</f>
        <v>1167048</v>
      </c>
      <c r="P33" s="24" t="n">
        <f aca="false">H33*1.6</f>
        <v>25934.4</v>
      </c>
      <c r="Q33" s="27" t="s">
        <v>134</v>
      </c>
      <c r="R33" s="28" t="s">
        <v>176</v>
      </c>
    </row>
    <row r="34" customFormat="false" ht="15" hidden="false" customHeight="true" outlineLevel="0" collapsed="false">
      <c r="A34" s="20" t="n">
        <v>33</v>
      </c>
      <c r="B34" s="20" t="s">
        <v>256</v>
      </c>
      <c r="C34" s="20" t="s">
        <v>257</v>
      </c>
      <c r="D34" s="23" t="n">
        <v>45810</v>
      </c>
      <c r="E34" s="20" t="s">
        <v>258</v>
      </c>
      <c r="F34" s="20" t="s">
        <v>188</v>
      </c>
      <c r="G34" s="20" t="s">
        <v>174</v>
      </c>
      <c r="H34" s="24" t="n">
        <v>95833</v>
      </c>
      <c r="I34" s="20" t="s">
        <v>185</v>
      </c>
      <c r="J34" s="24" t="n">
        <f aca="false">H34*12</f>
        <v>1149996</v>
      </c>
      <c r="K34" s="25" t="n">
        <f aca="true">YEARFRAC(D34,TODAY(),1)</f>
        <v>0.821917808219178</v>
      </c>
      <c r="M34" s="26" t="n">
        <v>23</v>
      </c>
      <c r="N34" s="24" t="n">
        <f aca="false">H34*M34</f>
        <v>2204159</v>
      </c>
      <c r="O34" s="24" t="n">
        <f aca="false">N34*12</f>
        <v>26449908</v>
      </c>
      <c r="P34" s="24" t="n">
        <f aca="false">H34*1.6</f>
        <v>153332.8</v>
      </c>
      <c r="Q34" s="27" t="s">
        <v>214</v>
      </c>
      <c r="R34" s="28" t="s">
        <v>215</v>
      </c>
    </row>
    <row r="35" customFormat="false" ht="15" hidden="false" customHeight="true" outlineLevel="0" collapsed="false">
      <c r="A35" s="20" t="n">
        <v>34</v>
      </c>
      <c r="B35" s="20" t="s">
        <v>259</v>
      </c>
      <c r="C35" s="20" t="s">
        <v>260</v>
      </c>
      <c r="D35" s="23" t="n">
        <v>45839</v>
      </c>
      <c r="E35" s="20" t="s">
        <v>261</v>
      </c>
      <c r="F35" s="20" t="s">
        <v>179</v>
      </c>
      <c r="G35" s="20" t="s">
        <v>206</v>
      </c>
      <c r="H35" s="24" t="n">
        <v>32451</v>
      </c>
      <c r="I35" s="20" t="s">
        <v>175</v>
      </c>
      <c r="J35" s="24" t="n">
        <f aca="false">H35*12</f>
        <v>389412</v>
      </c>
      <c r="K35" s="25" t="n">
        <f aca="true">YEARFRAC(D35,TODAY(),1)</f>
        <v>0.742465753424658</v>
      </c>
      <c r="P35" s="24" t="n">
        <f aca="false">H35*1.6</f>
        <v>51921.6</v>
      </c>
      <c r="Q35" s="27" t="s">
        <v>180</v>
      </c>
      <c r="R35" s="28" t="s">
        <v>181</v>
      </c>
    </row>
    <row r="36" customFormat="false" ht="15" hidden="false" customHeight="true" outlineLevel="0" collapsed="false">
      <c r="A36" s="20" t="n">
        <v>35</v>
      </c>
      <c r="B36" s="20" t="s">
        <v>262</v>
      </c>
      <c r="C36" s="20" t="s">
        <v>263</v>
      </c>
      <c r="D36" s="23" t="n">
        <v>45854</v>
      </c>
      <c r="E36" s="20" t="s">
        <v>195</v>
      </c>
      <c r="F36" s="20" t="s">
        <v>202</v>
      </c>
      <c r="G36" s="20" t="s">
        <v>174</v>
      </c>
      <c r="H36" s="24" t="n">
        <v>13507</v>
      </c>
      <c r="I36" s="20" t="s">
        <v>175</v>
      </c>
      <c r="J36" s="24" t="n">
        <f aca="false">H36*12</f>
        <v>162084</v>
      </c>
      <c r="K36" s="25" t="n">
        <f aca="true">YEARFRAC(D36,TODAY(),1)</f>
        <v>0.701369863013699</v>
      </c>
      <c r="M36" s="26" t="n">
        <v>6</v>
      </c>
      <c r="N36" s="24" t="n">
        <f aca="false">H36*M36</f>
        <v>81042</v>
      </c>
      <c r="O36" s="24" t="n">
        <f aca="false">N36*12</f>
        <v>972504</v>
      </c>
      <c r="P36" s="24" t="n">
        <f aca="false">H36*1.6</f>
        <v>21611.2</v>
      </c>
      <c r="Q36" s="27" t="s">
        <v>134</v>
      </c>
      <c r="R36" s="28" t="s">
        <v>176</v>
      </c>
    </row>
    <row r="37" customFormat="false" ht="15" hidden="false" customHeight="true" outlineLevel="0" collapsed="false">
      <c r="A37" s="20" t="n">
        <v>36</v>
      </c>
      <c r="B37" s="20" t="s">
        <v>264</v>
      </c>
      <c r="C37" s="20" t="s">
        <v>265</v>
      </c>
      <c r="D37" s="23" t="n">
        <v>45854</v>
      </c>
      <c r="E37" s="20" t="s">
        <v>266</v>
      </c>
      <c r="F37" s="20" t="s">
        <v>173</v>
      </c>
      <c r="G37" s="20" t="s">
        <v>193</v>
      </c>
      <c r="H37" s="24" t="n">
        <v>37897</v>
      </c>
      <c r="I37" s="20" t="s">
        <v>175</v>
      </c>
      <c r="J37" s="24" t="n">
        <f aca="false">H37*12</f>
        <v>454764</v>
      </c>
      <c r="K37" s="25" t="n">
        <f aca="true">YEARFRAC(D37,TODAY(),1)</f>
        <v>0.701369863013699</v>
      </c>
      <c r="P37" s="24" t="n">
        <f aca="false">H37*1.6</f>
        <v>60635.2</v>
      </c>
      <c r="Q37" s="27" t="s">
        <v>180</v>
      </c>
      <c r="R37" s="28" t="s">
        <v>181</v>
      </c>
    </row>
    <row r="38" customFormat="false" ht="15" hidden="false" customHeight="true" outlineLevel="0" collapsed="false">
      <c r="A38" s="20" t="n">
        <v>37</v>
      </c>
      <c r="B38" s="20" t="s">
        <v>267</v>
      </c>
      <c r="C38" s="20" t="s">
        <v>268</v>
      </c>
      <c r="D38" s="23" t="n">
        <v>45873</v>
      </c>
      <c r="E38" s="20" t="s">
        <v>269</v>
      </c>
      <c r="F38" s="20" t="s">
        <v>173</v>
      </c>
      <c r="G38" s="20" t="s">
        <v>270</v>
      </c>
      <c r="H38" s="24" t="n">
        <v>17600</v>
      </c>
      <c r="I38" s="20" t="s">
        <v>185</v>
      </c>
      <c r="J38" s="24" t="n">
        <f aca="false">H38*12</f>
        <v>211200</v>
      </c>
      <c r="K38" s="25" t="n">
        <f aca="true">YEARFRAC(D38,TODAY(),1)</f>
        <v>0.649315068493151</v>
      </c>
      <c r="P38" s="24" t="n">
        <f aca="false">H38*1.6</f>
        <v>28160</v>
      </c>
      <c r="Q38" s="27" t="s">
        <v>180</v>
      </c>
      <c r="R38" s="28" t="s">
        <v>181</v>
      </c>
    </row>
    <row r="39" customFormat="false" ht="15" hidden="false" customHeight="true" outlineLevel="0" collapsed="false">
      <c r="A39" s="20" t="n">
        <v>38</v>
      </c>
      <c r="B39" s="20" t="s">
        <v>271</v>
      </c>
      <c r="C39" s="20" t="s">
        <v>272</v>
      </c>
      <c r="D39" s="23" t="n">
        <v>45873</v>
      </c>
      <c r="E39" s="20" t="s">
        <v>273</v>
      </c>
      <c r="F39" s="20" t="s">
        <v>199</v>
      </c>
      <c r="G39" s="20" t="s">
        <v>174</v>
      </c>
      <c r="H39" s="24" t="n">
        <v>30363</v>
      </c>
      <c r="I39" s="20" t="s">
        <v>185</v>
      </c>
      <c r="J39" s="24" t="n">
        <f aca="false">H39*12</f>
        <v>364356</v>
      </c>
      <c r="K39" s="25" t="n">
        <f aca="true">YEARFRAC(D39,TODAY(),1)</f>
        <v>0.649315068493151</v>
      </c>
      <c r="M39" s="26" t="n">
        <v>6</v>
      </c>
      <c r="N39" s="24" t="n">
        <f aca="false">H39*M39</f>
        <v>182178</v>
      </c>
      <c r="O39" s="24" t="n">
        <f aca="false">N39*12</f>
        <v>2186136</v>
      </c>
      <c r="P39" s="24" t="n">
        <f aca="false">H39*1.6</f>
        <v>48580.8</v>
      </c>
      <c r="Q39" s="27" t="s">
        <v>134</v>
      </c>
      <c r="R39" s="28" t="s">
        <v>176</v>
      </c>
    </row>
    <row r="40" customFormat="false" ht="15" hidden="false" customHeight="true" outlineLevel="0" collapsed="false">
      <c r="A40" s="20" t="n">
        <v>39</v>
      </c>
      <c r="B40" s="20" t="s">
        <v>274</v>
      </c>
      <c r="C40" s="20" t="s">
        <v>275</v>
      </c>
      <c r="D40" s="23" t="n">
        <v>45936</v>
      </c>
      <c r="E40" s="20" t="s">
        <v>276</v>
      </c>
      <c r="F40" s="20" t="s">
        <v>188</v>
      </c>
      <c r="G40" s="20" t="s">
        <v>174</v>
      </c>
      <c r="H40" s="24" t="n">
        <v>44035</v>
      </c>
      <c r="I40" s="20" t="s">
        <v>185</v>
      </c>
      <c r="J40" s="24" t="n">
        <f aca="false">H40*12</f>
        <v>528420</v>
      </c>
      <c r="K40" s="25" t="n">
        <f aca="true">YEARFRAC(D40,TODAY(),1)</f>
        <v>0.476712328767123</v>
      </c>
      <c r="M40" s="26" t="n">
        <v>20</v>
      </c>
      <c r="N40" s="24" t="n">
        <f aca="false">H40*M40</f>
        <v>880700</v>
      </c>
      <c r="O40" s="24" t="n">
        <f aca="false">N40*12</f>
        <v>10568400</v>
      </c>
      <c r="P40" s="24" t="n">
        <f aca="false">H40*1.6</f>
        <v>70456</v>
      </c>
      <c r="Q40" s="27" t="s">
        <v>189</v>
      </c>
      <c r="R40" s="28" t="s">
        <v>190</v>
      </c>
    </row>
    <row r="41" customFormat="false" ht="15" hidden="false" customHeight="true" outlineLevel="0" collapsed="false">
      <c r="A41" s="20" t="n">
        <v>40</v>
      </c>
      <c r="B41" s="20" t="s">
        <v>277</v>
      </c>
      <c r="C41" s="20" t="s">
        <v>278</v>
      </c>
      <c r="D41" s="23" t="n">
        <v>45936</v>
      </c>
      <c r="E41" s="20" t="s">
        <v>276</v>
      </c>
      <c r="F41" s="20" t="s">
        <v>188</v>
      </c>
      <c r="G41" s="20" t="s">
        <v>174</v>
      </c>
      <c r="H41" s="24" t="n">
        <v>41534</v>
      </c>
      <c r="I41" s="20" t="s">
        <v>185</v>
      </c>
      <c r="J41" s="24" t="n">
        <f aca="false">H41*12</f>
        <v>498408</v>
      </c>
      <c r="K41" s="25" t="n">
        <f aca="true">YEARFRAC(D41,TODAY(),1)</f>
        <v>0.476712328767123</v>
      </c>
      <c r="M41" s="26" t="n">
        <v>20</v>
      </c>
      <c r="N41" s="24" t="n">
        <f aca="false">H41*M41</f>
        <v>830680</v>
      </c>
      <c r="O41" s="24" t="n">
        <f aca="false">N41*12</f>
        <v>9968160</v>
      </c>
      <c r="P41" s="24" t="n">
        <f aca="false">H41*1.6</f>
        <v>66454.4</v>
      </c>
      <c r="Q41" s="27" t="s">
        <v>189</v>
      </c>
      <c r="R41" s="28" t="s">
        <v>190</v>
      </c>
    </row>
    <row r="42" customFormat="false" ht="15" hidden="false" customHeight="true" outlineLevel="0" collapsed="false">
      <c r="A42" s="20" t="n">
        <v>41</v>
      </c>
      <c r="B42" s="20" t="s">
        <v>279</v>
      </c>
      <c r="C42" s="20" t="s">
        <v>280</v>
      </c>
      <c r="D42" s="23" t="n">
        <v>45936</v>
      </c>
      <c r="E42" s="20" t="s">
        <v>195</v>
      </c>
      <c r="F42" s="20" t="s">
        <v>202</v>
      </c>
      <c r="G42" s="20" t="s">
        <v>174</v>
      </c>
      <c r="H42" s="24" t="n">
        <v>18009</v>
      </c>
      <c r="I42" s="20" t="s">
        <v>175</v>
      </c>
      <c r="J42" s="24" t="n">
        <f aca="false">H42*12</f>
        <v>216108</v>
      </c>
      <c r="K42" s="25" t="n">
        <f aca="true">YEARFRAC(D42,TODAY(),1)</f>
        <v>0.476712328767123</v>
      </c>
      <c r="M42" s="26" t="n">
        <v>6</v>
      </c>
      <c r="N42" s="24" t="n">
        <f aca="false">H42*M42</f>
        <v>108054</v>
      </c>
      <c r="O42" s="24" t="n">
        <f aca="false">N42*12</f>
        <v>1296648</v>
      </c>
      <c r="P42" s="24" t="n">
        <f aca="false">H42*1.6</f>
        <v>28814.4</v>
      </c>
      <c r="Q42" s="27" t="s">
        <v>134</v>
      </c>
      <c r="R42" s="28" t="s">
        <v>176</v>
      </c>
    </row>
    <row r="43" customFormat="false" ht="15" hidden="false" customHeight="true" outlineLevel="0" collapsed="false">
      <c r="A43" s="20" t="n">
        <v>42</v>
      </c>
      <c r="B43" s="20" t="s">
        <v>281</v>
      </c>
      <c r="C43" s="20" t="s">
        <v>282</v>
      </c>
      <c r="D43" s="23" t="n">
        <v>45943</v>
      </c>
      <c r="E43" s="20" t="s">
        <v>283</v>
      </c>
      <c r="F43" s="20" t="s">
        <v>173</v>
      </c>
      <c r="G43" s="20" t="s">
        <v>174</v>
      </c>
      <c r="H43" s="24" t="n">
        <v>66117</v>
      </c>
      <c r="I43" s="20" t="s">
        <v>185</v>
      </c>
      <c r="J43" s="24" t="n">
        <f aca="false">H43*12</f>
        <v>793404</v>
      </c>
      <c r="K43" s="25" t="n">
        <f aca="true">YEARFRAC(D43,TODAY(),1)</f>
        <v>0.457534246575343</v>
      </c>
      <c r="M43" s="26" t="n">
        <v>20</v>
      </c>
      <c r="N43" s="24" t="n">
        <f aca="false">H43*M43</f>
        <v>1322340</v>
      </c>
      <c r="O43" s="24" t="n">
        <f aca="false">N43*12</f>
        <v>15868080</v>
      </c>
      <c r="P43" s="24" t="n">
        <f aca="false">H43*1.6</f>
        <v>105787.2</v>
      </c>
      <c r="Q43" s="27" t="s">
        <v>189</v>
      </c>
      <c r="R43" s="28" t="s">
        <v>190</v>
      </c>
    </row>
    <row r="44" customFormat="false" ht="15" hidden="false" customHeight="true" outlineLevel="0" collapsed="false">
      <c r="A44" s="20" t="n">
        <v>43</v>
      </c>
      <c r="B44" s="20" t="s">
        <v>284</v>
      </c>
      <c r="C44" s="20" t="s">
        <v>285</v>
      </c>
      <c r="D44" s="23" t="n">
        <v>45965</v>
      </c>
      <c r="E44" s="20" t="s">
        <v>286</v>
      </c>
      <c r="F44" s="20" t="s">
        <v>230</v>
      </c>
      <c r="G44" s="20" t="s">
        <v>174</v>
      </c>
      <c r="H44" s="24" t="n">
        <v>6000</v>
      </c>
      <c r="I44" s="20" t="s">
        <v>175</v>
      </c>
      <c r="J44" s="24" t="n">
        <f aca="false">H44*12</f>
        <v>72000</v>
      </c>
      <c r="K44" s="25" t="n">
        <f aca="true">YEARFRAC(D44,TODAY(),1)</f>
        <v>0.397260273972603</v>
      </c>
      <c r="M44" s="26" t="n">
        <v>6</v>
      </c>
      <c r="N44" s="24" t="n">
        <f aca="false">H44*M44</f>
        <v>36000</v>
      </c>
      <c r="O44" s="24" t="n">
        <f aca="false">N44*12</f>
        <v>432000</v>
      </c>
      <c r="P44" s="24" t="n">
        <f aca="false">H44*1.6</f>
        <v>9600</v>
      </c>
      <c r="Q44" s="27" t="s">
        <v>134</v>
      </c>
      <c r="R44" s="28" t="s">
        <v>176</v>
      </c>
    </row>
    <row r="45" customFormat="false" ht="15" hidden="false" customHeight="true" outlineLevel="0" collapsed="false">
      <c r="A45" s="20" t="n">
        <v>44</v>
      </c>
      <c r="B45" s="20" t="s">
        <v>287</v>
      </c>
      <c r="C45" s="20" t="s">
        <v>288</v>
      </c>
      <c r="D45" s="23" t="n">
        <v>45971</v>
      </c>
      <c r="E45" s="20" t="s">
        <v>178</v>
      </c>
      <c r="F45" s="20" t="s">
        <v>173</v>
      </c>
      <c r="G45" s="20" t="s">
        <v>179</v>
      </c>
      <c r="H45" s="24" t="n">
        <v>15000</v>
      </c>
      <c r="I45" s="20" t="s">
        <v>175</v>
      </c>
      <c r="J45" s="24" t="n">
        <f aca="false">H45*12</f>
        <v>180000</v>
      </c>
      <c r="K45" s="25" t="n">
        <f aca="true">YEARFRAC(D45,TODAY(),1)</f>
        <v>0.380821917808219</v>
      </c>
      <c r="P45" s="24" t="n">
        <f aca="false">H45*1.6</f>
        <v>24000</v>
      </c>
      <c r="Q45" s="27" t="s">
        <v>180</v>
      </c>
      <c r="R45" s="28" t="s">
        <v>181</v>
      </c>
    </row>
    <row r="46" customFormat="false" ht="15" hidden="false" customHeight="true" outlineLevel="0" collapsed="false">
      <c r="A46" s="20" t="n">
        <v>45</v>
      </c>
      <c r="B46" s="20" t="s">
        <v>289</v>
      </c>
      <c r="C46" s="20" t="s">
        <v>290</v>
      </c>
      <c r="D46" s="23" t="n">
        <v>45978</v>
      </c>
      <c r="E46" s="20" t="s">
        <v>291</v>
      </c>
      <c r="F46" s="20" t="s">
        <v>189</v>
      </c>
      <c r="G46" s="20" t="s">
        <v>174</v>
      </c>
      <c r="H46" s="24" t="n">
        <v>112008</v>
      </c>
      <c r="I46" s="20" t="s">
        <v>185</v>
      </c>
      <c r="J46" s="24" t="n">
        <f aca="false">H46*12</f>
        <v>1344096</v>
      </c>
      <c r="K46" s="25" t="n">
        <f aca="true">YEARFRAC(D46,TODAY(),1)</f>
        <v>0.361643835616438</v>
      </c>
      <c r="M46" s="26" t="n">
        <v>20</v>
      </c>
      <c r="N46" s="24" t="n">
        <f aca="false">H46*M46</f>
        <v>2240160</v>
      </c>
      <c r="O46" s="24" t="n">
        <f aca="false">N46*12</f>
        <v>26881920</v>
      </c>
      <c r="P46" s="24" t="n">
        <f aca="false">H46*1.6</f>
        <v>179212.8</v>
      </c>
      <c r="Q46" s="27" t="s">
        <v>189</v>
      </c>
      <c r="R46" s="28" t="s">
        <v>190</v>
      </c>
    </row>
    <row r="47" customFormat="false" ht="15" hidden="false" customHeight="true" outlineLevel="0" collapsed="false">
      <c r="A47" s="20" t="n">
        <v>46</v>
      </c>
      <c r="B47" s="20" t="s">
        <v>292</v>
      </c>
      <c r="C47" s="20" t="s">
        <v>293</v>
      </c>
      <c r="D47" s="23" t="n">
        <v>45978</v>
      </c>
      <c r="E47" s="20" t="s">
        <v>294</v>
      </c>
      <c r="F47" s="20" t="s">
        <v>218</v>
      </c>
      <c r="G47" s="20" t="s">
        <v>179</v>
      </c>
      <c r="H47" s="24" t="n">
        <v>15308</v>
      </c>
      <c r="I47" s="20" t="s">
        <v>175</v>
      </c>
      <c r="J47" s="24" t="n">
        <f aca="false">H47*12</f>
        <v>183696</v>
      </c>
      <c r="K47" s="25" t="n">
        <f aca="true">YEARFRAC(D47,TODAY(),1)</f>
        <v>0.361643835616438</v>
      </c>
      <c r="P47" s="24" t="n">
        <f aca="false">H47*1.6</f>
        <v>24492.8</v>
      </c>
      <c r="Q47" s="27" t="s">
        <v>180</v>
      </c>
      <c r="R47" s="28" t="s">
        <v>181</v>
      </c>
    </row>
    <row r="48" customFormat="false" ht="15" hidden="false" customHeight="true" outlineLevel="0" collapsed="false">
      <c r="A48" s="20" t="n">
        <v>47</v>
      </c>
      <c r="B48" s="20" t="s">
        <v>295</v>
      </c>
      <c r="C48" s="20" t="s">
        <v>296</v>
      </c>
      <c r="D48" s="23" t="n">
        <v>45980</v>
      </c>
      <c r="E48" s="20" t="s">
        <v>297</v>
      </c>
      <c r="F48" s="20" t="s">
        <v>173</v>
      </c>
      <c r="G48" s="20" t="s">
        <v>270</v>
      </c>
      <c r="H48" s="24" t="n">
        <v>32008</v>
      </c>
      <c r="I48" s="20" t="s">
        <v>185</v>
      </c>
      <c r="J48" s="24" t="n">
        <f aca="false">H48*12</f>
        <v>384096</v>
      </c>
      <c r="K48" s="25" t="n">
        <f aca="true">YEARFRAC(D48,TODAY(),1)</f>
        <v>0.356164383561644</v>
      </c>
      <c r="P48" s="24" t="n">
        <f aca="false">H48*1.6</f>
        <v>51212.8</v>
      </c>
      <c r="Q48" s="27" t="s">
        <v>180</v>
      </c>
      <c r="R48" s="28" t="s">
        <v>181</v>
      </c>
    </row>
    <row r="49" customFormat="false" ht="15" hidden="false" customHeight="true" outlineLevel="0" collapsed="false">
      <c r="A49" s="20" t="n">
        <v>48</v>
      </c>
      <c r="B49" s="20" t="s">
        <v>298</v>
      </c>
      <c r="C49" s="20" t="s">
        <v>299</v>
      </c>
      <c r="D49" s="23" t="n">
        <v>45964</v>
      </c>
      <c r="E49" s="20" t="s">
        <v>300</v>
      </c>
      <c r="F49" s="20" t="s">
        <v>173</v>
      </c>
      <c r="G49" s="20" t="s">
        <v>174</v>
      </c>
      <c r="H49" s="24" t="n">
        <v>300000</v>
      </c>
      <c r="I49" s="20" t="s">
        <v>185</v>
      </c>
      <c r="J49" s="24" t="n">
        <f aca="false">H49*12</f>
        <v>3600000</v>
      </c>
      <c r="K49" s="25" t="n">
        <f aca="true">YEARFRAC(D49,TODAY(),1)</f>
        <v>0.4</v>
      </c>
      <c r="M49" s="26"/>
      <c r="N49" s="24" t="n">
        <f aca="false">H49*M49</f>
        <v>0</v>
      </c>
      <c r="O49" s="24" t="n">
        <f aca="false">N49*12</f>
        <v>0</v>
      </c>
      <c r="P49" s="24" t="n">
        <f aca="false">H49*1.6</f>
        <v>480000</v>
      </c>
      <c r="Q49" s="27" t="s">
        <v>301</v>
      </c>
      <c r="R49" s="28" t="s">
        <v>302</v>
      </c>
    </row>
    <row r="50" customFormat="false" ht="15" hidden="false" customHeight="true" outlineLevel="0" collapsed="false">
      <c r="A50" s="20" t="n">
        <v>49</v>
      </c>
      <c r="B50" s="20" t="s">
        <v>303</v>
      </c>
      <c r="C50" s="20" t="s">
        <v>304</v>
      </c>
      <c r="D50" s="23" t="n">
        <v>45992</v>
      </c>
      <c r="E50" s="20" t="s">
        <v>305</v>
      </c>
      <c r="F50" s="20" t="s">
        <v>173</v>
      </c>
      <c r="G50" s="20" t="s">
        <v>193</v>
      </c>
      <c r="H50" s="24" t="n">
        <v>15008</v>
      </c>
      <c r="I50" s="20" t="s">
        <v>175</v>
      </c>
      <c r="J50" s="24" t="n">
        <f aca="false">H50*12</f>
        <v>180096</v>
      </c>
      <c r="K50" s="25" t="n">
        <f aca="true">YEARFRAC(D50,TODAY(),1)</f>
        <v>0.323287671232877</v>
      </c>
      <c r="P50" s="24" t="n">
        <f aca="false">H50*1.6</f>
        <v>24012.8</v>
      </c>
      <c r="Q50" s="27" t="s">
        <v>180</v>
      </c>
      <c r="R50" s="28" t="s">
        <v>181</v>
      </c>
    </row>
    <row r="51" customFormat="false" ht="15" hidden="false" customHeight="true" outlineLevel="0" collapsed="false">
      <c r="A51" s="20" t="n">
        <v>50</v>
      </c>
      <c r="B51" s="20" t="s">
        <v>306</v>
      </c>
      <c r="C51" s="20" t="s">
        <v>307</v>
      </c>
      <c r="D51" s="23" t="n">
        <v>45992</v>
      </c>
      <c r="E51" s="20" t="s">
        <v>195</v>
      </c>
      <c r="F51" s="20" t="s">
        <v>202</v>
      </c>
      <c r="G51" s="20" t="s">
        <v>174</v>
      </c>
      <c r="H51" s="24" t="n">
        <v>28200</v>
      </c>
      <c r="I51" s="20" t="s">
        <v>175</v>
      </c>
      <c r="J51" s="24" t="n">
        <f aca="false">H51*12</f>
        <v>338400</v>
      </c>
      <c r="K51" s="25" t="n">
        <f aca="true">YEARFRAC(D51,TODAY(),1)</f>
        <v>0.323287671232877</v>
      </c>
      <c r="M51" s="26" t="n">
        <v>6</v>
      </c>
      <c r="N51" s="24" t="n">
        <f aca="false">H51*M51</f>
        <v>169200</v>
      </c>
      <c r="O51" s="24" t="n">
        <f aca="false">N51*12</f>
        <v>2030400</v>
      </c>
      <c r="P51" s="24" t="n">
        <f aca="false">H51*1.6</f>
        <v>45120</v>
      </c>
      <c r="Q51" s="27" t="s">
        <v>134</v>
      </c>
      <c r="R51" s="28" t="s">
        <v>176</v>
      </c>
    </row>
    <row r="52" customFormat="false" ht="15" hidden="false" customHeight="true" outlineLevel="0" collapsed="false">
      <c r="A52" s="20" t="n">
        <v>51</v>
      </c>
      <c r="B52" s="20" t="s">
        <v>308</v>
      </c>
      <c r="C52" s="20" t="s">
        <v>309</v>
      </c>
      <c r="D52" s="23" t="n">
        <v>45992</v>
      </c>
      <c r="E52" s="20" t="s">
        <v>195</v>
      </c>
      <c r="F52" s="20" t="s">
        <v>189</v>
      </c>
      <c r="G52" s="20" t="s">
        <v>174</v>
      </c>
      <c r="H52" s="24" t="n">
        <v>20427</v>
      </c>
      <c r="I52" s="20" t="s">
        <v>185</v>
      </c>
      <c r="J52" s="24" t="n">
        <f aca="false">H52*12</f>
        <v>245124</v>
      </c>
      <c r="K52" s="25" t="n">
        <f aca="true">YEARFRAC(D52,TODAY(),1)</f>
        <v>0.323287671232877</v>
      </c>
      <c r="M52" s="26" t="n">
        <v>20</v>
      </c>
      <c r="N52" s="24" t="n">
        <f aca="false">H52*M52</f>
        <v>408540</v>
      </c>
      <c r="O52" s="24" t="n">
        <f aca="false">N52*12</f>
        <v>4902480</v>
      </c>
      <c r="P52" s="24" t="n">
        <f aca="false">H52*1.6</f>
        <v>32683.2</v>
      </c>
      <c r="Q52" s="27" t="s">
        <v>189</v>
      </c>
      <c r="R52" s="28" t="s">
        <v>190</v>
      </c>
    </row>
    <row r="53" customFormat="false" ht="15" hidden="false" customHeight="true" outlineLevel="0" collapsed="false">
      <c r="A53" s="20" t="n">
        <v>52</v>
      </c>
      <c r="B53" s="20" t="s">
        <v>310</v>
      </c>
      <c r="C53" s="20" t="s">
        <v>311</v>
      </c>
      <c r="D53" s="23" t="n">
        <v>45992</v>
      </c>
      <c r="E53" s="20" t="s">
        <v>283</v>
      </c>
      <c r="F53" s="20" t="s">
        <v>189</v>
      </c>
      <c r="G53" s="20" t="s">
        <v>174</v>
      </c>
      <c r="H53" s="24" t="n">
        <v>52009</v>
      </c>
      <c r="I53" s="20" t="s">
        <v>185</v>
      </c>
      <c r="J53" s="24" t="n">
        <f aca="false">H53*12</f>
        <v>624108</v>
      </c>
      <c r="K53" s="25" t="n">
        <f aca="true">YEARFRAC(D53,TODAY(),1)</f>
        <v>0.323287671232877</v>
      </c>
      <c r="M53" s="26" t="n">
        <v>20</v>
      </c>
      <c r="N53" s="24" t="n">
        <f aca="false">H53*M53</f>
        <v>1040180</v>
      </c>
      <c r="O53" s="24" t="n">
        <f aca="false">N53*12</f>
        <v>12482160</v>
      </c>
      <c r="P53" s="24" t="n">
        <f aca="false">H53*1.6</f>
        <v>83214.4</v>
      </c>
      <c r="Q53" s="27" t="s">
        <v>189</v>
      </c>
      <c r="R53" s="28" t="s">
        <v>190</v>
      </c>
    </row>
    <row r="54" customFormat="false" ht="15" hidden="false" customHeight="true" outlineLevel="0" collapsed="false">
      <c r="A54" s="20" t="n">
        <v>53</v>
      </c>
      <c r="B54" s="20" t="s">
        <v>312</v>
      </c>
      <c r="C54" s="20" t="s">
        <v>313</v>
      </c>
      <c r="D54" s="23" t="n">
        <v>45992</v>
      </c>
      <c r="E54" s="20" t="s">
        <v>283</v>
      </c>
      <c r="F54" s="20" t="s">
        <v>189</v>
      </c>
      <c r="G54" s="20" t="s">
        <v>174</v>
      </c>
      <c r="H54" s="24" t="n">
        <v>67008</v>
      </c>
      <c r="I54" s="20" t="s">
        <v>185</v>
      </c>
      <c r="J54" s="24" t="n">
        <f aca="false">H54*12</f>
        <v>804096</v>
      </c>
      <c r="K54" s="25" t="n">
        <f aca="true">YEARFRAC(D54,TODAY(),1)</f>
        <v>0.323287671232877</v>
      </c>
      <c r="M54" s="26" t="n">
        <v>20</v>
      </c>
      <c r="N54" s="24" t="n">
        <f aca="false">H54*M54</f>
        <v>1340160</v>
      </c>
      <c r="O54" s="24" t="n">
        <f aca="false">N54*12</f>
        <v>16081920</v>
      </c>
      <c r="P54" s="24" t="n">
        <f aca="false">H54*1.6</f>
        <v>107212.8</v>
      </c>
      <c r="Q54" s="27" t="s">
        <v>189</v>
      </c>
      <c r="R54" s="28" t="s">
        <v>190</v>
      </c>
    </row>
    <row r="55" customFormat="false" ht="15" hidden="false" customHeight="true" outlineLevel="0" collapsed="false">
      <c r="A55" s="20" t="n">
        <v>54</v>
      </c>
      <c r="B55" s="20" t="s">
        <v>314</v>
      </c>
      <c r="C55" s="20" t="s">
        <v>315</v>
      </c>
      <c r="D55" s="23" t="n">
        <v>45992</v>
      </c>
      <c r="E55" s="20" t="s">
        <v>195</v>
      </c>
      <c r="F55" s="20" t="s">
        <v>189</v>
      </c>
      <c r="G55" s="20" t="s">
        <v>174</v>
      </c>
      <c r="H55" s="24" t="n">
        <v>23980</v>
      </c>
      <c r="I55" s="20" t="s">
        <v>185</v>
      </c>
      <c r="J55" s="24" t="n">
        <f aca="false">H55*12</f>
        <v>287760</v>
      </c>
      <c r="K55" s="25" t="n">
        <f aca="true">YEARFRAC(D55,TODAY(),1)</f>
        <v>0.323287671232877</v>
      </c>
      <c r="M55" s="26" t="n">
        <v>20</v>
      </c>
      <c r="N55" s="24" t="n">
        <f aca="false">H55*M55</f>
        <v>479600</v>
      </c>
      <c r="O55" s="24" t="n">
        <f aca="false">N55*12</f>
        <v>5755200</v>
      </c>
      <c r="P55" s="24" t="n">
        <f aca="false">H55*1.6</f>
        <v>38368</v>
      </c>
      <c r="Q55" s="27" t="s">
        <v>189</v>
      </c>
      <c r="R55" s="28" t="s">
        <v>190</v>
      </c>
    </row>
    <row r="56" customFormat="false" ht="15" hidden="false" customHeight="true" outlineLevel="0" collapsed="false">
      <c r="A56" s="20" t="n">
        <v>55</v>
      </c>
      <c r="B56" s="20" t="s">
        <v>316</v>
      </c>
      <c r="C56" s="20" t="s">
        <v>317</v>
      </c>
      <c r="D56" s="23" t="n">
        <v>45992</v>
      </c>
      <c r="E56" s="20" t="s">
        <v>195</v>
      </c>
      <c r="F56" s="20" t="s">
        <v>189</v>
      </c>
      <c r="G56" s="20" t="s">
        <v>174</v>
      </c>
      <c r="H56" s="24" t="n">
        <v>67008</v>
      </c>
      <c r="I56" s="20" t="s">
        <v>185</v>
      </c>
      <c r="J56" s="24" t="n">
        <f aca="false">H56*12</f>
        <v>804096</v>
      </c>
      <c r="K56" s="25" t="n">
        <f aca="true">YEARFRAC(D56,TODAY(),1)</f>
        <v>0.323287671232877</v>
      </c>
      <c r="M56" s="26" t="n">
        <v>20</v>
      </c>
      <c r="N56" s="24" t="n">
        <f aca="false">H56*M56</f>
        <v>1340160</v>
      </c>
      <c r="O56" s="24" t="n">
        <f aca="false">N56*12</f>
        <v>16081920</v>
      </c>
      <c r="P56" s="24" t="n">
        <f aca="false">H56*1.6</f>
        <v>107212.8</v>
      </c>
      <c r="Q56" s="27" t="s">
        <v>189</v>
      </c>
      <c r="R56" s="28" t="s">
        <v>190</v>
      </c>
    </row>
    <row r="57" customFormat="false" ht="15" hidden="false" customHeight="true" outlineLevel="0" collapsed="false">
      <c r="A57" s="20" t="n">
        <v>56</v>
      </c>
      <c r="B57" s="20" t="s">
        <v>318</v>
      </c>
      <c r="C57" s="20" t="s">
        <v>319</v>
      </c>
      <c r="D57" s="23" t="n">
        <v>45992</v>
      </c>
      <c r="E57" s="20" t="s">
        <v>283</v>
      </c>
      <c r="F57" s="20" t="s">
        <v>189</v>
      </c>
      <c r="G57" s="20" t="s">
        <v>174</v>
      </c>
      <c r="H57" s="24" t="n">
        <v>67008</v>
      </c>
      <c r="I57" s="20" t="s">
        <v>185</v>
      </c>
      <c r="J57" s="24" t="n">
        <f aca="false">H57*12</f>
        <v>804096</v>
      </c>
      <c r="K57" s="25" t="n">
        <f aca="true">YEARFRAC(D57,TODAY(),1)</f>
        <v>0.323287671232877</v>
      </c>
      <c r="M57" s="26" t="n">
        <v>20</v>
      </c>
      <c r="N57" s="24" t="n">
        <f aca="false">H57*M57</f>
        <v>1340160</v>
      </c>
      <c r="O57" s="24" t="n">
        <f aca="false">N57*12</f>
        <v>16081920</v>
      </c>
      <c r="P57" s="24" t="n">
        <f aca="false">H57*1.6</f>
        <v>107212.8</v>
      </c>
      <c r="Q57" s="27" t="s">
        <v>189</v>
      </c>
      <c r="R57" s="28" t="s">
        <v>190</v>
      </c>
    </row>
    <row r="58" customFormat="false" ht="15" hidden="false" customHeight="true" outlineLevel="0" collapsed="false">
      <c r="A58" s="20" t="n">
        <v>57</v>
      </c>
      <c r="B58" s="20" t="s">
        <v>320</v>
      </c>
      <c r="C58" s="20" t="s">
        <v>321</v>
      </c>
      <c r="D58" s="23" t="n">
        <v>45992</v>
      </c>
      <c r="E58" s="20" t="s">
        <v>195</v>
      </c>
      <c r="F58" s="20" t="s">
        <v>189</v>
      </c>
      <c r="G58" s="20" t="s">
        <v>174</v>
      </c>
      <c r="H58" s="24" t="n">
        <v>22429</v>
      </c>
      <c r="I58" s="20" t="s">
        <v>185</v>
      </c>
      <c r="J58" s="24" t="n">
        <f aca="false">H58*12</f>
        <v>269148</v>
      </c>
      <c r="K58" s="25" t="n">
        <f aca="true">YEARFRAC(D58,TODAY(),1)</f>
        <v>0.323287671232877</v>
      </c>
      <c r="M58" s="26" t="n">
        <v>20</v>
      </c>
      <c r="N58" s="24" t="n">
        <f aca="false">H58*M58</f>
        <v>448580</v>
      </c>
      <c r="O58" s="24" t="n">
        <f aca="false">N58*12</f>
        <v>5382960</v>
      </c>
      <c r="P58" s="24" t="n">
        <f aca="false">H58*1.6</f>
        <v>35886.4</v>
      </c>
      <c r="Q58" s="27" t="s">
        <v>189</v>
      </c>
      <c r="R58" s="28" t="s">
        <v>190</v>
      </c>
    </row>
    <row r="59" customFormat="false" ht="15" hidden="false" customHeight="true" outlineLevel="0" collapsed="false">
      <c r="A59" s="20" t="n">
        <v>58</v>
      </c>
      <c r="B59" s="20" t="s">
        <v>322</v>
      </c>
      <c r="C59" s="20" t="s">
        <v>323</v>
      </c>
      <c r="D59" s="23" t="n">
        <v>45999</v>
      </c>
      <c r="E59" s="20" t="s">
        <v>195</v>
      </c>
      <c r="F59" s="20" t="s">
        <v>173</v>
      </c>
      <c r="G59" s="20" t="s">
        <v>174</v>
      </c>
      <c r="H59" s="24" t="n">
        <v>41008</v>
      </c>
      <c r="I59" s="20" t="s">
        <v>185</v>
      </c>
      <c r="J59" s="24" t="n">
        <f aca="false">H59*12</f>
        <v>492096</v>
      </c>
      <c r="K59" s="25" t="n">
        <f aca="true">YEARFRAC(D59,TODAY(),1)</f>
        <v>0.304109589041096</v>
      </c>
      <c r="M59" s="26" t="n">
        <v>6</v>
      </c>
      <c r="N59" s="24" t="n">
        <f aca="false">H59*M59</f>
        <v>246048</v>
      </c>
      <c r="O59" s="24" t="n">
        <f aca="false">N59*12</f>
        <v>2952576</v>
      </c>
      <c r="P59" s="24" t="n">
        <f aca="false">H59*1.6</f>
        <v>65612.8</v>
      </c>
      <c r="Q59" s="27" t="s">
        <v>134</v>
      </c>
      <c r="R59" s="28" t="s">
        <v>176</v>
      </c>
    </row>
    <row r="60" customFormat="false" ht="15" hidden="false" customHeight="true" outlineLevel="0" collapsed="false">
      <c r="A60" s="20" t="n">
        <v>59</v>
      </c>
      <c r="B60" s="20" t="s">
        <v>324</v>
      </c>
      <c r="C60" s="20" t="s">
        <v>299</v>
      </c>
      <c r="E60" s="20" t="s">
        <v>325</v>
      </c>
      <c r="F60" s="20" t="s">
        <v>179</v>
      </c>
      <c r="G60" s="20" t="s">
        <v>180</v>
      </c>
      <c r="H60" s="24" t="n">
        <v>12000</v>
      </c>
      <c r="I60" s="20" t="s">
        <v>326</v>
      </c>
      <c r="J60" s="24" t="n">
        <f aca="false">H60*12</f>
        <v>144000</v>
      </c>
      <c r="P60" s="24" t="n">
        <f aca="false">H60*1.6</f>
        <v>19200</v>
      </c>
      <c r="Q60" s="27" t="s">
        <v>180</v>
      </c>
      <c r="R60" s="28" t="s">
        <v>181</v>
      </c>
    </row>
    <row r="61" customFormat="false" ht="15" hidden="false" customHeight="true" outlineLevel="0" collapsed="false">
      <c r="A61" s="20" t="n">
        <v>60</v>
      </c>
      <c r="B61" s="20" t="s">
        <v>327</v>
      </c>
      <c r="C61" s="20" t="s">
        <v>299</v>
      </c>
      <c r="E61" s="20" t="s">
        <v>325</v>
      </c>
      <c r="F61" s="20" t="s">
        <v>179</v>
      </c>
      <c r="G61" s="20" t="s">
        <v>180</v>
      </c>
      <c r="H61" s="24" t="n">
        <v>15000</v>
      </c>
      <c r="I61" s="20" t="s">
        <v>326</v>
      </c>
      <c r="J61" s="24" t="n">
        <f aca="false">H61*12</f>
        <v>180000</v>
      </c>
      <c r="P61" s="24" t="n">
        <f aca="false">H61*1.6</f>
        <v>24000</v>
      </c>
      <c r="Q61" s="27" t="s">
        <v>180</v>
      </c>
      <c r="R61" s="28" t="s">
        <v>181</v>
      </c>
    </row>
    <row r="62" customFormat="false" ht="15" hidden="false" customHeight="true" outlineLevel="0" collapsed="false">
      <c r="A62" s="20" t="n">
        <v>61</v>
      </c>
      <c r="B62" s="20" t="s">
        <v>328</v>
      </c>
      <c r="C62" s="20" t="s">
        <v>299</v>
      </c>
      <c r="E62" s="20" t="s">
        <v>325</v>
      </c>
      <c r="F62" s="20" t="s">
        <v>179</v>
      </c>
      <c r="G62" s="20" t="s">
        <v>180</v>
      </c>
      <c r="H62" s="24" t="n">
        <v>10000</v>
      </c>
      <c r="I62" s="20" t="s">
        <v>326</v>
      </c>
      <c r="J62" s="24" t="n">
        <f aca="false">H62*12</f>
        <v>120000</v>
      </c>
      <c r="P62" s="24" t="n">
        <f aca="false">H62*1.6</f>
        <v>16000</v>
      </c>
      <c r="Q62" s="27" t="s">
        <v>180</v>
      </c>
      <c r="R62" s="28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A00"/>
    <pageSetUpPr fitToPage="false"/>
  </sheetPr>
  <dimension ref="A1:D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0" width="40"/>
    <col collapsed="false" customWidth="true" hidden="false" outlineLevel="0" max="3" min="2" style="20" width="20"/>
    <col collapsed="false" customWidth="true" hidden="false" outlineLevel="0" max="4" min="4" style="20" width="35"/>
  </cols>
  <sheetData>
    <row r="1" customFormat="false" ht="15" hidden="false" customHeight="true" outlineLevel="0" collapsed="false">
      <c r="A1" s="29" t="s">
        <v>329</v>
      </c>
    </row>
    <row r="2" customFormat="false" ht="15" hidden="false" customHeight="true" outlineLevel="0" collapsed="false">
      <c r="A2" s="21" t="s">
        <v>87</v>
      </c>
      <c r="B2" s="21" t="s">
        <v>330</v>
      </c>
      <c r="C2" s="21" t="s">
        <v>132</v>
      </c>
    </row>
    <row r="3" customFormat="false" ht="15" hidden="false" customHeight="true" outlineLevel="0" collapsed="false">
      <c r="A3" s="20" t="s">
        <v>331</v>
      </c>
      <c r="B3" s="30" t="n">
        <v>100</v>
      </c>
      <c r="C3" s="20" t="s">
        <v>332</v>
      </c>
      <c r="D3" s="20" t="s">
        <v>333</v>
      </c>
    </row>
    <row r="4" customFormat="false" ht="15" hidden="false" customHeight="true" outlineLevel="0" collapsed="false">
      <c r="A4" s="20" t="s">
        <v>334</v>
      </c>
      <c r="B4" s="30" t="n">
        <v>10</v>
      </c>
      <c r="C4" s="20" t="s">
        <v>335</v>
      </c>
    </row>
    <row r="5" customFormat="false" ht="15" hidden="false" customHeight="true" outlineLevel="0" collapsed="false">
      <c r="A5" s="20" t="s">
        <v>336</v>
      </c>
      <c r="B5" s="30" t="n">
        <v>7.5</v>
      </c>
      <c r="C5" s="20" t="s">
        <v>337</v>
      </c>
    </row>
    <row r="6" customFormat="false" ht="15" hidden="false" customHeight="true" outlineLevel="0" collapsed="false">
      <c r="A6" s="20" t="s">
        <v>338</v>
      </c>
      <c r="B6" s="30" t="n">
        <v>5</v>
      </c>
      <c r="C6" s="20" t="s">
        <v>339</v>
      </c>
    </row>
    <row r="7" customFormat="false" ht="15" hidden="false" customHeight="true" outlineLevel="0" collapsed="false">
      <c r="A7" s="20" t="s">
        <v>340</v>
      </c>
      <c r="B7" s="30" t="n">
        <v>10</v>
      </c>
      <c r="C7" s="20" t="s">
        <v>341</v>
      </c>
    </row>
    <row r="8" customFormat="false" ht="15" hidden="false" customHeight="true" outlineLevel="0" collapsed="false">
      <c r="A8" s="20" t="s">
        <v>342</v>
      </c>
      <c r="B8" s="30" t="n">
        <v>125</v>
      </c>
      <c r="C8" s="20" t="s">
        <v>343</v>
      </c>
    </row>
    <row r="9" customFormat="false" ht="15" hidden="false" customHeight="true" outlineLevel="0" collapsed="false">
      <c r="A9" s="20" t="s">
        <v>344</v>
      </c>
      <c r="B9" s="30" t="n">
        <v>125</v>
      </c>
      <c r="C9" s="20" t="s">
        <v>345</v>
      </c>
    </row>
    <row r="10" customFormat="false" ht="15" hidden="false" customHeight="true" outlineLevel="0" collapsed="false">
      <c r="A10" s="20" t="s">
        <v>346</v>
      </c>
      <c r="B10" s="30" t="n">
        <v>125</v>
      </c>
      <c r="C10" s="20" t="s">
        <v>345</v>
      </c>
    </row>
    <row r="11" customFormat="false" ht="15" hidden="false" customHeight="true" outlineLevel="0" collapsed="false">
      <c r="A11" s="20" t="s">
        <v>347</v>
      </c>
      <c r="B11" s="30" t="n">
        <v>30</v>
      </c>
      <c r="C11" s="20" t="s">
        <v>348</v>
      </c>
    </row>
    <row r="12" customFormat="false" ht="15" hidden="false" customHeight="true" outlineLevel="0" collapsed="false">
      <c r="A12" s="20" t="s">
        <v>349</v>
      </c>
      <c r="B12" s="30" t="n">
        <v>0</v>
      </c>
      <c r="C12" s="20" t="s">
        <v>350</v>
      </c>
    </row>
    <row r="13" customFormat="false" ht="15" hidden="false" customHeight="true" outlineLevel="0" collapsed="false">
      <c r="A13" s="20" t="s">
        <v>351</v>
      </c>
      <c r="B13" s="30" t="n">
        <v>15</v>
      </c>
      <c r="C13" s="20" t="s">
        <v>352</v>
      </c>
    </row>
    <row r="14" customFormat="false" ht="15" hidden="false" customHeight="true" outlineLevel="0" collapsed="false">
      <c r="A14" s="20" t="s">
        <v>353</v>
      </c>
      <c r="B14" s="30" t="n">
        <v>30</v>
      </c>
      <c r="C14" s="20" t="s">
        <v>354</v>
      </c>
    </row>
    <row r="15" customFormat="false" ht="15" hidden="false" customHeight="true" outlineLevel="0" collapsed="false">
      <c r="A15" s="31" t="s">
        <v>355</v>
      </c>
    </row>
    <row r="16" customFormat="false" ht="15" hidden="false" customHeight="true" outlineLevel="0" collapsed="false">
      <c r="A16" s="32" t="s">
        <v>356</v>
      </c>
      <c r="C16" s="28" t="s">
        <v>357</v>
      </c>
    </row>
    <row r="17" customFormat="false" ht="15" hidden="false" customHeight="true" outlineLevel="0" collapsed="false">
      <c r="A17" s="29" t="s">
        <v>358</v>
      </c>
    </row>
    <row r="18" customFormat="false" ht="15" hidden="false" customHeight="true" outlineLevel="0" collapsed="false">
      <c r="A18" s="21" t="s">
        <v>87</v>
      </c>
      <c r="B18" s="21" t="s">
        <v>330</v>
      </c>
    </row>
    <row r="19" customFormat="false" ht="15" hidden="false" customHeight="true" outlineLevel="0" collapsed="false">
      <c r="A19" s="20" t="s">
        <v>359</v>
      </c>
      <c r="B19" s="33" t="n">
        <v>125</v>
      </c>
    </row>
    <row r="20" customFormat="false" ht="15" hidden="false" customHeight="true" outlineLevel="0" collapsed="false">
      <c r="A20" s="20" t="s">
        <v>360</v>
      </c>
      <c r="B20" s="33" t="n">
        <v>100</v>
      </c>
    </row>
    <row r="21" customFormat="false" ht="15" hidden="false" customHeight="true" outlineLevel="0" collapsed="false">
      <c r="A21" s="20" t="s">
        <v>361</v>
      </c>
      <c r="B21" s="33" t="n">
        <v>25</v>
      </c>
    </row>
    <row r="22" customFormat="false" ht="15" hidden="false" customHeight="true" outlineLevel="0" collapsed="false">
      <c r="A22" s="20" t="s">
        <v>362</v>
      </c>
      <c r="B22" s="33" t="n">
        <v>10</v>
      </c>
    </row>
    <row r="24" customFormat="false" ht="15" hidden="false" customHeight="true" outlineLevel="0" collapsed="false">
      <c r="A24" s="29" t="s">
        <v>363</v>
      </c>
    </row>
    <row r="25" customFormat="false" ht="15" hidden="false" customHeight="true" outlineLevel="0" collapsed="false">
      <c r="A25" s="34" t="s">
        <v>364</v>
      </c>
      <c r="B25" s="21" t="s">
        <v>330</v>
      </c>
      <c r="C25" s="21" t="s">
        <v>365</v>
      </c>
    </row>
    <row r="26" customFormat="false" ht="15" hidden="false" customHeight="true" outlineLevel="0" collapsed="false">
      <c r="A26" s="35" t="s">
        <v>68</v>
      </c>
      <c r="B26" s="36" t="s">
        <v>69</v>
      </c>
      <c r="C26" s="35" t="s">
        <v>70</v>
      </c>
      <c r="D26" s="11" t="s">
        <v>71</v>
      </c>
    </row>
    <row r="27" customFormat="false" ht="15" hidden="false" customHeight="true" outlineLevel="0" collapsed="false">
      <c r="A27" s="37" t="s">
        <v>72</v>
      </c>
      <c r="B27" s="38" t="n">
        <v>0</v>
      </c>
      <c r="C27" s="38" t="n">
        <v>0</v>
      </c>
      <c r="D27" s="8" t="s">
        <v>73</v>
      </c>
    </row>
    <row r="28" customFormat="false" ht="15" hidden="false" customHeight="true" outlineLevel="0" collapsed="false">
      <c r="A28" s="37" t="s">
        <v>74</v>
      </c>
      <c r="B28" s="38" t="n">
        <v>4</v>
      </c>
      <c r="C28" s="38" t="n">
        <v>1</v>
      </c>
      <c r="D28" s="8" t="s">
        <v>75</v>
      </c>
    </row>
    <row r="29" customFormat="false" ht="15" hidden="false" customHeight="true" outlineLevel="0" collapsed="false">
      <c r="A29" s="37" t="s">
        <v>76</v>
      </c>
      <c r="B29" s="38" t="n">
        <v>5</v>
      </c>
      <c r="C29" s="38" t="n">
        <v>1.25</v>
      </c>
      <c r="D29" s="8" t="s">
        <v>77</v>
      </c>
    </row>
    <row r="30" customFormat="false" ht="15" hidden="false" customHeight="true" outlineLevel="0" collapsed="false">
      <c r="A30" s="37" t="s">
        <v>78</v>
      </c>
      <c r="B30" s="38" t="n">
        <v>6</v>
      </c>
      <c r="C30" s="38" t="n">
        <v>1.5</v>
      </c>
      <c r="D30" s="8" t="s">
        <v>79</v>
      </c>
    </row>
    <row r="31" customFormat="false" ht="15" hidden="false" customHeight="false" outlineLevel="0" collapsed="false">
      <c r="A31" s="8" t="s">
        <v>80</v>
      </c>
      <c r="B31" s="39" t="n">
        <v>7</v>
      </c>
      <c r="C31" s="39" t="n">
        <v>1.75</v>
      </c>
      <c r="D31" s="8" t="s">
        <v>81</v>
      </c>
    </row>
    <row r="32" customFormat="false" ht="15" hidden="false" customHeight="true" outlineLevel="0" collapsed="false">
      <c r="A32" s="37" t="s">
        <v>82</v>
      </c>
      <c r="B32" s="39" t="n">
        <v>8</v>
      </c>
      <c r="C32" s="39" t="n">
        <v>2</v>
      </c>
      <c r="D32" s="8" t="s">
        <v>83</v>
      </c>
    </row>
    <row r="33" customFormat="false" ht="15" hidden="false" customHeight="true" outlineLevel="0" collapsed="false">
      <c r="A33" s="21" t="s">
        <v>366</v>
      </c>
      <c r="B33" s="21" t="s">
        <v>367</v>
      </c>
      <c r="C33" s="21" t="s">
        <v>330</v>
      </c>
      <c r="D33" s="21" t="s">
        <v>132</v>
      </c>
    </row>
    <row r="34" customFormat="false" ht="15" hidden="false" customHeight="true" outlineLevel="0" collapsed="false">
      <c r="A34" s="40" t="s">
        <v>368</v>
      </c>
      <c r="B34" s="20" t="s">
        <v>369</v>
      </c>
      <c r="C34" s="20" t="s">
        <v>370</v>
      </c>
      <c r="D34" s="20" t="s">
        <v>371</v>
      </c>
    </row>
    <row r="35" customFormat="false" ht="15" hidden="false" customHeight="true" outlineLevel="0" collapsed="false">
      <c r="A35" s="35" t="s">
        <v>68</v>
      </c>
      <c r="B35" s="35" t="s">
        <v>69</v>
      </c>
      <c r="C35" s="35" t="s">
        <v>70</v>
      </c>
      <c r="D35" s="35" t="s">
        <v>71</v>
      </c>
    </row>
    <row r="36" customFormat="false" ht="15" hidden="false" customHeight="true" outlineLevel="0" collapsed="false">
      <c r="A36" s="37" t="s">
        <v>72</v>
      </c>
      <c r="B36" s="38" t="n">
        <v>0</v>
      </c>
      <c r="C36" s="38" t="n">
        <v>0</v>
      </c>
      <c r="D36" s="37" t="s">
        <v>73</v>
      </c>
    </row>
    <row r="37" customFormat="false" ht="15" hidden="false" customHeight="true" outlineLevel="0" collapsed="false">
      <c r="A37" s="37" t="s">
        <v>74</v>
      </c>
      <c r="B37" s="38" t="n">
        <v>1.2</v>
      </c>
      <c r="C37" s="38" t="n">
        <v>1</v>
      </c>
      <c r="D37" s="37" t="s">
        <v>75</v>
      </c>
    </row>
    <row r="38" customFormat="false" ht="15" hidden="false" customHeight="true" outlineLevel="0" collapsed="false">
      <c r="A38" s="37" t="s">
        <v>76</v>
      </c>
      <c r="B38" s="38" t="n">
        <v>1.5</v>
      </c>
      <c r="C38" s="38" t="n">
        <v>1.25</v>
      </c>
      <c r="D38" s="37" t="s">
        <v>77</v>
      </c>
    </row>
    <row r="39" customFormat="false" ht="15" hidden="false" customHeight="true" outlineLevel="0" collapsed="false">
      <c r="A39" s="37" t="s">
        <v>78</v>
      </c>
      <c r="B39" s="38" t="n">
        <v>1.8</v>
      </c>
      <c r="C39" s="38" t="n">
        <v>1.5</v>
      </c>
      <c r="D39" s="37" t="s">
        <v>79</v>
      </c>
    </row>
    <row r="40" customFormat="false" ht="15" hidden="false" customHeight="true" outlineLevel="0" collapsed="false">
      <c r="A40" s="37" t="s">
        <v>80</v>
      </c>
      <c r="B40" s="38" t="n">
        <v>2.1</v>
      </c>
      <c r="C40" s="38" t="n">
        <v>1.75</v>
      </c>
      <c r="D40" s="37" t="s">
        <v>81</v>
      </c>
    </row>
    <row r="41" customFormat="false" ht="15" hidden="false" customHeight="true" outlineLevel="0" collapsed="false">
      <c r="A41" s="37" t="s">
        <v>82</v>
      </c>
      <c r="B41" s="38" t="n">
        <v>2</v>
      </c>
      <c r="C41" s="38" t="n">
        <v>2</v>
      </c>
      <c r="D41" s="37" t="s">
        <v>83</v>
      </c>
    </row>
    <row r="42" customFormat="false" ht="15" hidden="false" customHeight="true" outlineLevel="0" collapsed="false">
      <c r="A42" s="41" t="s">
        <v>372</v>
      </c>
      <c r="B42" s="20" t="s">
        <v>373</v>
      </c>
      <c r="C42" s="33" t="n">
        <v>100</v>
      </c>
      <c r="D42" s="20" t="s">
        <v>77</v>
      </c>
    </row>
    <row r="43" customFormat="false" ht="15" hidden="false" customHeight="true" outlineLevel="0" collapsed="false">
      <c r="A43" s="20" t="s">
        <v>374</v>
      </c>
      <c r="B43" s="20" t="s">
        <v>375</v>
      </c>
      <c r="C43" s="33" t="n">
        <v>20</v>
      </c>
      <c r="D43" s="20" t="s">
        <v>376</v>
      </c>
    </row>
    <row r="44" customFormat="false" ht="15" hidden="false" customHeight="true" outlineLevel="0" collapsed="false">
      <c r="A44" s="20" t="s">
        <v>29</v>
      </c>
      <c r="B44" s="20" t="s">
        <v>377</v>
      </c>
      <c r="C44" s="33" t="n">
        <v>33</v>
      </c>
      <c r="D44" s="20" t="s">
        <v>378</v>
      </c>
    </row>
    <row r="46" customFormat="false" ht="15" hidden="false" customHeight="true" outlineLevel="0" collapsed="false">
      <c r="A46" s="31" t="s">
        <v>379</v>
      </c>
    </row>
    <row r="47" customFormat="false" ht="15" hidden="false" customHeight="true" outlineLevel="0" collapsed="false">
      <c r="A47" s="31" t="s">
        <v>380</v>
      </c>
    </row>
    <row r="49" customFormat="false" ht="15" hidden="false" customHeight="true" outlineLevel="0" collapsed="false">
      <c r="A49" s="29" t="s">
        <v>381</v>
      </c>
    </row>
    <row r="50" customFormat="false" ht="15" hidden="false" customHeight="true" outlineLevel="0" collapsed="false">
      <c r="A50" s="21" t="s">
        <v>382</v>
      </c>
      <c r="B50" s="21" t="s">
        <v>383</v>
      </c>
    </row>
    <row r="51" customFormat="false" ht="15" hidden="false" customHeight="true" outlineLevel="0" collapsed="false">
      <c r="A51" s="20" t="s">
        <v>384</v>
      </c>
      <c r="B51" s="20" t="s">
        <v>385</v>
      </c>
    </row>
    <row r="52" customFormat="false" ht="15" hidden="false" customHeight="true" outlineLevel="0" collapsed="false">
      <c r="A52" s="20" t="s">
        <v>386</v>
      </c>
      <c r="B52" s="20" t="s">
        <v>44</v>
      </c>
    </row>
    <row r="53" customFormat="false" ht="15" hidden="false" customHeight="true" outlineLevel="0" collapsed="false">
      <c r="A53" s="20" t="s">
        <v>387</v>
      </c>
      <c r="B53" s="20" t="s">
        <v>388</v>
      </c>
    </row>
    <row r="54" customFormat="false" ht="15" hidden="false" customHeight="true" outlineLevel="0" collapsed="false">
      <c r="A54" s="20" t="s">
        <v>351</v>
      </c>
      <c r="B54" s="20" t="s">
        <v>389</v>
      </c>
    </row>
    <row r="55" customFormat="false" ht="15" hidden="false" customHeight="true" outlineLevel="0" collapsed="false">
      <c r="A55" s="20" t="s">
        <v>390</v>
      </c>
      <c r="B55" s="20" t="s">
        <v>391</v>
      </c>
    </row>
    <row r="57" customFormat="false" ht="15" hidden="false" customHeight="true" outlineLevel="0" collapsed="false">
      <c r="A57" s="29" t="s">
        <v>392</v>
      </c>
    </row>
    <row r="58" customFormat="false" ht="26.25" hidden="false" customHeight="true" outlineLevel="0" collapsed="false">
      <c r="A58" s="21" t="s">
        <v>393</v>
      </c>
      <c r="B58" s="21" t="s">
        <v>394</v>
      </c>
      <c r="C58" s="21" t="s">
        <v>395</v>
      </c>
      <c r="D58" s="21" t="s">
        <v>396</v>
      </c>
    </row>
    <row r="59" customFormat="false" ht="15" hidden="false" customHeight="true" outlineLevel="0" collapsed="false">
      <c r="A59" s="20" t="s">
        <v>397</v>
      </c>
      <c r="B59" s="33" t="n">
        <v>25</v>
      </c>
      <c r="C59" s="33" t="n">
        <v>10</v>
      </c>
      <c r="D59" s="33" t="n">
        <v>65</v>
      </c>
    </row>
    <row r="60" customFormat="false" ht="15" hidden="false" customHeight="true" outlineLevel="0" collapsed="false">
      <c r="A60" s="20" t="s">
        <v>398</v>
      </c>
      <c r="B60" s="33" t="n">
        <v>15</v>
      </c>
      <c r="C60" s="33" t="n">
        <v>7.5</v>
      </c>
      <c r="D60" s="33" t="n">
        <v>77.5</v>
      </c>
    </row>
    <row r="61" customFormat="false" ht="15" hidden="false" customHeight="true" outlineLevel="0" collapsed="false">
      <c r="A61" s="20" t="s">
        <v>399</v>
      </c>
      <c r="B61" s="33" t="n">
        <v>0</v>
      </c>
      <c r="C61" s="33" t="n">
        <v>5</v>
      </c>
      <c r="D61" s="33" t="n">
        <v>95</v>
      </c>
    </row>
    <row r="62" customFormat="false" ht="15" hidden="false" customHeight="true" outlineLevel="0" collapsed="false">
      <c r="A62" s="20" t="s">
        <v>400</v>
      </c>
      <c r="B62" s="33" t="n">
        <v>10</v>
      </c>
      <c r="C62" s="33" t="n">
        <v>10</v>
      </c>
      <c r="D62" s="33" t="n">
        <v>80</v>
      </c>
    </row>
    <row r="64" customFormat="false" ht="15" hidden="false" customHeight="true" outlineLevel="0" collapsed="false">
      <c r="A64" s="29" t="s">
        <v>401</v>
      </c>
    </row>
    <row r="65" customFormat="false" ht="15" hidden="false" customHeight="true" outlineLevel="0" collapsed="false">
      <c r="A65" s="21" t="s">
        <v>68</v>
      </c>
      <c r="B65" s="21" t="s">
        <v>69</v>
      </c>
      <c r="C65" s="21" t="s">
        <v>70</v>
      </c>
      <c r="D65" s="21" t="s">
        <v>71</v>
      </c>
    </row>
    <row r="66" customFormat="false" ht="15" hidden="false" customHeight="true" outlineLevel="0" collapsed="false">
      <c r="A66" s="20" t="s">
        <v>72</v>
      </c>
      <c r="B66" s="30" t="n">
        <v>0</v>
      </c>
      <c r="C66" s="42" t="n">
        <v>0</v>
      </c>
      <c r="D66" s="20" t="s">
        <v>73</v>
      </c>
    </row>
    <row r="67" customFormat="false" ht="15" hidden="false" customHeight="true" outlineLevel="0" collapsed="false">
      <c r="A67" s="20" t="s">
        <v>74</v>
      </c>
      <c r="B67" s="30" t="n">
        <v>4</v>
      </c>
      <c r="C67" s="42" t="n">
        <v>1</v>
      </c>
      <c r="D67" s="20" t="s">
        <v>75</v>
      </c>
    </row>
    <row r="68" customFormat="false" ht="15" hidden="false" customHeight="true" outlineLevel="0" collapsed="false">
      <c r="A68" s="20" t="s">
        <v>76</v>
      </c>
      <c r="B68" s="30" t="n">
        <v>4</v>
      </c>
      <c r="C68" s="42" t="n">
        <v>1</v>
      </c>
      <c r="D68" s="20" t="s">
        <v>77</v>
      </c>
    </row>
    <row r="69" customFormat="false" ht="15" hidden="false" customHeight="true" outlineLevel="0" collapsed="false">
      <c r="A69" s="20" t="s">
        <v>78</v>
      </c>
      <c r="B69" s="30" t="n">
        <v>4.6</v>
      </c>
      <c r="C69" s="42" t="n">
        <v>1.15</v>
      </c>
      <c r="D69" s="20" t="s">
        <v>79</v>
      </c>
    </row>
    <row r="70" customFormat="false" ht="15" hidden="false" customHeight="true" outlineLevel="0" collapsed="false">
      <c r="A70" s="20" t="s">
        <v>80</v>
      </c>
      <c r="B70" s="30" t="n">
        <v>5</v>
      </c>
      <c r="C70" s="42" t="n">
        <v>1.25</v>
      </c>
      <c r="D70" s="20" t="s">
        <v>81</v>
      </c>
    </row>
    <row r="71" customFormat="false" ht="15" hidden="false" customHeight="true" outlineLevel="0" collapsed="false">
      <c r="A71" s="20" t="s">
        <v>402</v>
      </c>
      <c r="B71" s="30" t="n">
        <v>6</v>
      </c>
      <c r="C71" s="42" t="n">
        <v>1.5</v>
      </c>
      <c r="D71" s="20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600"/>
    <pageSetUpPr fitToPage="false"/>
  </sheetPr>
  <dimension ref="A1:A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0" width="8"/>
    <col collapsed="false" customWidth="true" hidden="false" outlineLevel="0" max="2" min="2" style="20" width="20"/>
    <col collapsed="false" customWidth="true" hidden="false" outlineLevel="0" max="3" min="3" style="20" width="12"/>
    <col collapsed="false" customWidth="true" hidden="false" outlineLevel="0" max="4" min="4" style="20" width="14"/>
    <col collapsed="false" customWidth="true" hidden="false" outlineLevel="0" max="5" min="5" style="20" width="10"/>
    <col collapsed="false" customWidth="true" hidden="false" outlineLevel="0" max="15" min="6" style="20" width="12"/>
    <col collapsed="false" customWidth="true" hidden="false" outlineLevel="0" max="18" min="16" style="20" width="14"/>
    <col collapsed="false" customWidth="true" hidden="false" outlineLevel="0" max="20" min="19" style="20" width="12"/>
    <col collapsed="false" customWidth="true" hidden="false" outlineLevel="0" max="21" min="21" style="20" width="10"/>
    <col collapsed="false" customWidth="true" hidden="false" outlineLevel="0" max="23" min="22" style="20" width="14"/>
    <col collapsed="false" customWidth="true" hidden="false" outlineLevel="0" max="24" min="24" style="20" width="12"/>
    <col collapsed="false" customWidth="true" hidden="false" outlineLevel="0" max="25" min="25" style="20" width="10"/>
    <col collapsed="false" customWidth="true" hidden="false" outlineLevel="0" max="26" min="26" style="20" width="12"/>
    <col collapsed="false" customWidth="true" hidden="false" outlineLevel="0" max="28" min="27" style="20" width="14"/>
    <col collapsed="false" customWidth="true" hidden="false" outlineLevel="0" max="29" min="29" style="20" width="12"/>
    <col collapsed="false" customWidth="true" hidden="false" outlineLevel="0" max="30" min="30" style="20" width="15"/>
  </cols>
  <sheetData>
    <row r="1" customFormat="false" ht="39" hidden="false" customHeight="true" outlineLevel="0" collapsed="false">
      <c r="A1" s="21" t="s">
        <v>154</v>
      </c>
      <c r="B1" s="21" t="s">
        <v>155</v>
      </c>
      <c r="C1" s="21" t="s">
        <v>403</v>
      </c>
      <c r="D1" s="21" t="s">
        <v>167</v>
      </c>
      <c r="E1" s="21" t="s">
        <v>404</v>
      </c>
      <c r="F1" s="21" t="s">
        <v>405</v>
      </c>
      <c r="G1" s="21" t="s">
        <v>406</v>
      </c>
      <c r="H1" s="21" t="s">
        <v>407</v>
      </c>
      <c r="I1" s="21" t="s">
        <v>24</v>
      </c>
      <c r="J1" s="21" t="s">
        <v>25</v>
      </c>
      <c r="K1" s="21" t="s">
        <v>26</v>
      </c>
      <c r="L1" s="21" t="s">
        <v>27</v>
      </c>
      <c r="M1" s="21" t="s">
        <v>28</v>
      </c>
      <c r="N1" s="21" t="s">
        <v>408</v>
      </c>
      <c r="O1" s="21" t="s">
        <v>22</v>
      </c>
      <c r="P1" s="21" t="s">
        <v>409</v>
      </c>
      <c r="Q1" s="21" t="s">
        <v>410</v>
      </c>
      <c r="R1" s="21" t="s">
        <v>411</v>
      </c>
      <c r="S1" s="21" t="s">
        <v>412</v>
      </c>
      <c r="T1" s="21" t="s">
        <v>413</v>
      </c>
      <c r="U1" s="21" t="s">
        <v>414</v>
      </c>
      <c r="V1" s="21" t="s">
        <v>415</v>
      </c>
      <c r="W1" s="21" t="s">
        <v>416</v>
      </c>
      <c r="X1" s="21" t="s">
        <v>68</v>
      </c>
      <c r="Y1" s="21" t="s">
        <v>417</v>
      </c>
      <c r="Z1" s="21" t="s">
        <v>418</v>
      </c>
      <c r="AA1" s="21" t="s">
        <v>419</v>
      </c>
      <c r="AB1" s="21" t="s">
        <v>420</v>
      </c>
      <c r="AC1" s="21" t="s">
        <v>421</v>
      </c>
      <c r="AD1" s="21" t="s">
        <v>422</v>
      </c>
      <c r="AE1" s="22" t="s">
        <v>423</v>
      </c>
      <c r="AF1" s="22" t="s">
        <v>424</v>
      </c>
      <c r="AG1" s="11" t="s">
        <v>117</v>
      </c>
      <c r="AH1" s="11" t="s">
        <v>118</v>
      </c>
      <c r="AI1" s="11" t="s">
        <v>425</v>
      </c>
      <c r="AJ1" s="11" t="s">
        <v>426</v>
      </c>
    </row>
    <row r="2" customFormat="false" ht="15" hidden="false" customHeight="true" outlineLevel="0" collapsed="false">
      <c r="A2" s="20" t="n">
        <v>1</v>
      </c>
      <c r="B2" s="20" t="s">
        <v>133</v>
      </c>
      <c r="C2" s="24" t="n">
        <f aca="false">'Employee Master'!H2</f>
        <v>36017</v>
      </c>
      <c r="D2" s="24" t="n">
        <f aca="false">'Employee Master'!N2</f>
        <v>216102</v>
      </c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W2" s="44" t="n">
        <f aca="false">((IF(U2="Yes",F2*1.25,F2)+IF(U2="Yes",IF(H2="Annual",G2,IF(H2="2-Year",G2/2*1.25,IF(H2="3-Year",G2/3*1.5,IF(H2="Quarterly/HY",G2*0.5,G2))))*1.25,IF(H2="Annual",G2,IF(H2="2-Year",G2/2*1.25,IF(H2="3-Year",G2/3*1.5,IF(H2="Quarterly/HY",G2*0.5,G2)))))+(I2+J2+K2)+(L2+M2*0.2)+IF(U2="Yes",(N2-AE2)*1.25,(N2-AE2))+(O2*0.1+P2*0.075+Q2*0.05+R2*0.1)+(S2*0.3+T2*0.15)))*AI2</f>
        <v>0</v>
      </c>
      <c r="X2" s="45" t="n">
        <f aca="false">IF(D2=0,0,W2/D2)</f>
        <v>0</v>
      </c>
      <c r="Y2" s="20" t="str">
        <f aca="false">IF(X2&lt;0.8,"Below 80%",IF(X2&lt;=1,"80-100%",IF(X2&lt;=1.1,"101-110%",IF(X2&lt;=1.3,"111-130%",IF(X2&lt;=1.5,"131-150%","150%+")))))</f>
        <v>Below 80%</v>
      </c>
      <c r="Z2" s="46" t="n">
        <f aca="false">IF(AJ2="DST",IF(X2&lt;0.8,0,IF(X2&lt;=1,0.04,IF(X2&lt;=1.1,0.05,IF(X2&lt;=1.3,0.06,IF(X2&lt;=1.5,0.07,0.08))))),IF(X2&lt;0.8,0,IF(X2&lt;=1,0.012,IF(X2&lt;=1.1,0.015,IF(X2&lt;=1.3,0.018,IF(X2&lt;=1.5,0.021,0.02))))))</f>
        <v>0</v>
      </c>
      <c r="AA2" s="24" t="n">
        <f aca="false">W2*Z2</f>
        <v>0</v>
      </c>
      <c r="AB2" s="24" t="n">
        <f aca="false">C2+AA2</f>
        <v>36017</v>
      </c>
      <c r="AC2" s="20" t="str">
        <f aca="false">IF(W2&gt;='Employee Master'!P2,"YES","NO")</f>
        <v>NO</v>
      </c>
      <c r="AD2" s="20" t="str">
        <f aca="false">IF(X2&gt;=1.3,"Star",IF(X2&gt;=1,"High",IF(X2&gt;=0.8,"Meets",IF(X2&gt;=0.6,"Below","Non-Performer"))))</f>
        <v>Non-Performer</v>
      </c>
      <c r="AE2" s="26" t="n">
        <v>0</v>
      </c>
      <c r="AF2" s="20" t="n">
        <f aca="false">IF((I2+J2+K2)=0,0,IF((I2+J2+K2)&lt;=300000,0.015,IF((I2+J2+K2)&lt;=500000,0.02,0.03)))</f>
        <v>0</v>
      </c>
      <c r="AG2" s="9" t="n">
        <v>0</v>
      </c>
      <c r="AH2" s="16" t="n">
        <f aca="false">1-AG2</f>
        <v>1</v>
      </c>
      <c r="AI2" s="16" t="n">
        <f aca="false">IF(AH2&gt;=1,1,AH2)</f>
        <v>1</v>
      </c>
      <c r="AJ2" s="8" t="str">
        <f aca="false">IF(AG2=0,"DST","POSP RM")</f>
        <v>DST</v>
      </c>
    </row>
    <row r="3" customFormat="false" ht="15" hidden="false" customHeight="true" outlineLevel="0" collapsed="false">
      <c r="A3" s="20" t="n">
        <v>2</v>
      </c>
      <c r="B3" s="20" t="s">
        <v>136</v>
      </c>
      <c r="C3" s="24" t="n">
        <f aca="false">'Employee Master'!H4</f>
        <v>99751</v>
      </c>
      <c r="D3" s="24" t="n">
        <f aca="false">'Employee Master'!N4</f>
        <v>598506</v>
      </c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W3" s="44" t="n">
        <f aca="false">((IF(U3="Yes",F3*1.25,F3)+IF(U3="Yes",IF(H3="Annual",G3,IF(H3="2-Year",G3/2*1.25,IF(H3="3-Year",G3/3*1.5,IF(H3="Quarterly/HY",G3*0.5,G3))))*1.25,IF(H3="Annual",G3,IF(H3="2-Year",G3/2*1.25,IF(H3="3-Year",G3/3*1.5,IF(H3="Quarterly/HY",G3*0.5,G3)))))+(I3+J3+K3)+(L3+M3*0.2)+IF(U3="Yes",(N3-AE3)*1.25,(N3-AE3))+(O3*0.1+P3*0.075+Q3*0.05+R3*0.1)+(S3*0.3+T3*0.15)))*AI3</f>
        <v>0</v>
      </c>
      <c r="X3" s="45" t="n">
        <f aca="false">IF(D3=0,0,W3/D3)</f>
        <v>0</v>
      </c>
      <c r="Y3" s="20" t="str">
        <f aca="false">IF(X3&lt;0.8,"Below 80%",IF(X3&lt;=1,"80-100%",IF(X3&lt;=1.1,"101-110%",IF(X3&lt;=1.3,"111-130%",IF(X3&lt;=1.5,"131-150%","150%+")))))</f>
        <v>Below 80%</v>
      </c>
      <c r="Z3" s="46" t="n">
        <f aca="false">IF(AJ3="DST",IF(X3&lt;0.8,0,IF(X3&lt;=1,0.04,IF(X3&lt;=1.1,0.05,IF(X3&lt;=1.3,0.06,IF(X3&lt;=1.5,0.07,0.08))))),IF(X3&lt;0.8,0,IF(X3&lt;=1,0.012,IF(X3&lt;=1.1,0.015,IF(X3&lt;=1.3,0.018,IF(X3&lt;=1.5,0.021,0.02))))))</f>
        <v>0</v>
      </c>
      <c r="AA3" s="24" t="n">
        <f aca="false">W3*Z3</f>
        <v>0</v>
      </c>
      <c r="AB3" s="24" t="n">
        <f aca="false">C3+AA3</f>
        <v>99751</v>
      </c>
      <c r="AC3" s="20" t="str">
        <f aca="false">IF(W3&gt;='Employee Master'!P4,"YES","NO")</f>
        <v>NO</v>
      </c>
      <c r="AD3" s="20" t="str">
        <f aca="false">IF(X3&gt;=1.3,"Star",IF(X3&gt;=1,"High",IF(X3&gt;=0.8,"Meets",IF(X3&gt;=0.6,"Below","Non-Performer"))))</f>
        <v>Non-Performer</v>
      </c>
      <c r="AE3" s="26" t="n">
        <v>0</v>
      </c>
      <c r="AF3" s="20" t="n">
        <f aca="false">IF((I3+J3+K3)=0,0,IF((I3+J3+K3)&lt;=300000,0.015,IF((I3+J3+K3)&lt;=500000,0.02,0.03)))</f>
        <v>0</v>
      </c>
      <c r="AG3" s="9" t="n">
        <v>0</v>
      </c>
      <c r="AH3" s="16" t="n">
        <f aca="false">1-AG3</f>
        <v>1</v>
      </c>
      <c r="AI3" s="16" t="n">
        <f aca="false">IF(AH3&gt;=1,1,AH3)</f>
        <v>1</v>
      </c>
      <c r="AJ3" s="8" t="str">
        <f aca="false">IF(AG3=0,"DST","POSP RM")</f>
        <v>DST</v>
      </c>
    </row>
    <row r="4" customFormat="false" ht="15" hidden="false" customHeight="true" outlineLevel="0" collapsed="false">
      <c r="A4" s="20" t="n">
        <v>3</v>
      </c>
      <c r="B4" s="20" t="s">
        <v>137</v>
      </c>
      <c r="C4" s="24" t="n">
        <f aca="false">'Employee Master'!H5</f>
        <v>22449</v>
      </c>
      <c r="D4" s="24" t="n">
        <f aca="false">'Employee Master'!N5</f>
        <v>448980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W4" s="44" t="n">
        <f aca="false">((IF(U4="Yes",F4*1.25,F4)+IF(U4="Yes",IF(H4="Annual",G4,IF(H4="2-Year",G4/2*1.25,IF(H4="3-Year",G4/3*1.5,IF(H4="Quarterly/HY",G4*0.5,G4))))*1.25,IF(H4="Annual",G4,IF(H4="2-Year",G4/2*1.25,IF(H4="3-Year",G4/3*1.5,IF(H4="Quarterly/HY",G4*0.5,G4)))))+(I4+J4+K4)+(L4+M4*0.2)+IF(U4="Yes",(N4-AE4)*1.25,(N4-AE4))+(O4*0.1+P4*0.075+Q4*0.05+R4*0.1)+(S4*0.3+T4*0.15)))*AI4</f>
        <v>0</v>
      </c>
      <c r="X4" s="45" t="n">
        <f aca="false">IF(D4=0,0,W4/D4)</f>
        <v>0</v>
      </c>
      <c r="Y4" s="20" t="str">
        <f aca="false">IF(X4&lt;0.8,"Below 80%",IF(X4&lt;=1,"80-100%",IF(X4&lt;=1.1,"101-110%",IF(X4&lt;=1.3,"111-130%",IF(X4&lt;=1.5,"131-150%","150%+")))))</f>
        <v>Below 80%</v>
      </c>
      <c r="Z4" s="46" t="n">
        <f aca="false">IF(AJ4="DST",IF(X4&lt;0.8,0,IF(X4&lt;=1,0.04,IF(X4&lt;=1.1,0.05,IF(X4&lt;=1.3,0.06,IF(X4&lt;=1.5,0.07,0.08))))),IF(X4&lt;0.8,0,IF(X4&lt;=1,0.012,IF(X4&lt;=1.1,0.015,IF(X4&lt;=1.3,0.018,IF(X4&lt;=1.5,0.021,0.02))))))</f>
        <v>0</v>
      </c>
      <c r="AA4" s="24" t="n">
        <f aca="false">W4*Z4</f>
        <v>0</v>
      </c>
      <c r="AB4" s="24" t="n">
        <f aca="false">C4+AA4</f>
        <v>22449</v>
      </c>
      <c r="AC4" s="20" t="str">
        <f aca="false">IF(W4&gt;='Employee Master'!P5,"YES","NO")</f>
        <v>NO</v>
      </c>
      <c r="AD4" s="20" t="str">
        <f aca="false">IF(X4&gt;=1.3,"Star",IF(X4&gt;=1,"High",IF(X4&gt;=0.8,"Meets",IF(X4&gt;=0.6,"Below","Non-Performer"))))</f>
        <v>Non-Performer</v>
      </c>
      <c r="AE4" s="26" t="n">
        <v>0</v>
      </c>
      <c r="AF4" s="20" t="n">
        <f aca="false">IF((I4+J4+K4)=0,0,IF((I4+J4+K4)&lt;=300000,0.015,IF((I4+J4+K4)&lt;=500000,0.02,0.03)))</f>
        <v>0</v>
      </c>
      <c r="AG4" s="9" t="n">
        <v>0</v>
      </c>
      <c r="AH4" s="16" t="n">
        <f aca="false">1-AG4</f>
        <v>1</v>
      </c>
      <c r="AI4" s="16" t="n">
        <f aca="false">IF(AH4&gt;=1,1,AH4)</f>
        <v>1</v>
      </c>
      <c r="AJ4" s="8" t="str">
        <f aca="false">IF(AG4=0,"DST","POSP RM")</f>
        <v>DST</v>
      </c>
    </row>
    <row r="5" customFormat="false" ht="15" hidden="false" customHeight="true" outlineLevel="0" collapsed="false">
      <c r="A5" s="20" t="n">
        <v>4</v>
      </c>
      <c r="B5" s="20" t="s">
        <v>139</v>
      </c>
      <c r="C5" s="24" t="n">
        <f aca="false">'Employee Master'!H7</f>
        <v>40440</v>
      </c>
      <c r="D5" s="24" t="n">
        <f aca="false">'Employee Master'!N7</f>
        <v>808800</v>
      </c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W5" s="44" t="n">
        <f aca="false">((IF(U5="Yes",F5*1.25,F5)+IF(U5="Yes",IF(H5="Annual",G5,IF(H5="2-Year",G5/2*1.25,IF(H5="3-Year",G5/3*1.5,IF(H5="Quarterly/HY",G5*0.5,G5))))*1.25,IF(H5="Annual",G5,IF(H5="2-Year",G5/2*1.25,IF(H5="3-Year",G5/3*1.5,IF(H5="Quarterly/HY",G5*0.5,G5)))))+(I5+J5+K5)+(L5+M5*0.2)+IF(U5="Yes",(N5-AE5)*1.25,(N5-AE5))+(O5*0.1+P5*0.075+Q5*0.05+R5*0.1)+(S5*0.3+T5*0.15)))*AI5</f>
        <v>0</v>
      </c>
      <c r="X5" s="45" t="n">
        <f aca="false">IF(D5=0,0,W5/D5)</f>
        <v>0</v>
      </c>
      <c r="Y5" s="20" t="str">
        <f aca="false">IF(X5&lt;0.8,"Below 80%",IF(X5&lt;=1,"80-100%",IF(X5&lt;=1.1,"101-110%",IF(X5&lt;=1.3,"111-130%",IF(X5&lt;=1.5,"131-150%","150%+")))))</f>
        <v>Below 80%</v>
      </c>
      <c r="Z5" s="46" t="n">
        <f aca="false">IF(AJ5="DST",IF(X5&lt;0.8,0,IF(X5&lt;=1,0.04,IF(X5&lt;=1.1,0.05,IF(X5&lt;=1.3,0.06,IF(X5&lt;=1.5,0.07,0.08))))),IF(X5&lt;0.8,0,IF(X5&lt;=1,0.012,IF(X5&lt;=1.1,0.015,IF(X5&lt;=1.3,0.018,IF(X5&lt;=1.5,0.021,0.02))))))</f>
        <v>0</v>
      </c>
      <c r="AA5" s="24" t="n">
        <f aca="false">W5*Z5</f>
        <v>0</v>
      </c>
      <c r="AB5" s="24" t="n">
        <f aca="false">C5+AA5</f>
        <v>40440</v>
      </c>
      <c r="AC5" s="20" t="str">
        <f aca="false">IF(W5&gt;='Employee Master'!P7,"YES","NO")</f>
        <v>NO</v>
      </c>
      <c r="AD5" s="20" t="str">
        <f aca="false">IF(X5&gt;=1.3,"Star",IF(X5&gt;=1,"High",IF(X5&gt;=0.8,"Meets",IF(X5&gt;=0.6,"Below","Non-Performer"))))</f>
        <v>Non-Performer</v>
      </c>
      <c r="AE5" s="26" t="n">
        <v>0</v>
      </c>
      <c r="AF5" s="20" t="n">
        <f aca="false">IF((I5+J5+K5)=0,0,IF((I5+J5+K5)&lt;=300000,0.015,IF((I5+J5+K5)&lt;=500000,0.02,0.03)))</f>
        <v>0</v>
      </c>
      <c r="AG5" s="9" t="n">
        <v>0</v>
      </c>
      <c r="AH5" s="16" t="n">
        <f aca="false">1-AG5</f>
        <v>1</v>
      </c>
      <c r="AI5" s="16" t="n">
        <f aca="false">IF(AH5&gt;=1,1,AH5)</f>
        <v>1</v>
      </c>
      <c r="AJ5" s="8" t="str">
        <f aca="false">IF(AG5=0,"DST","POSP RM")</f>
        <v>DST</v>
      </c>
    </row>
    <row r="6" customFormat="false" ht="15" hidden="false" customHeight="true" outlineLevel="0" collapsed="false">
      <c r="A6" s="20" t="n">
        <v>5</v>
      </c>
      <c r="B6" s="20" t="s">
        <v>140</v>
      </c>
      <c r="C6" s="24" t="n">
        <f aca="false">'Employee Master'!H8</f>
        <v>30000</v>
      </c>
      <c r="D6" s="24" t="n">
        <f aca="false">'Employee Master'!N8</f>
        <v>180000</v>
      </c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W6" s="44" t="n">
        <f aca="false">((IF(U6="Yes",F6*1.25,F6)+IF(U6="Yes",IF(H6="Annual",G6,IF(H6="2-Year",G6/2*1.25,IF(H6="3-Year",G6/3*1.5,IF(H6="Quarterly/HY",G6*0.5,G6))))*1.25,IF(H6="Annual",G6,IF(H6="2-Year",G6/2*1.25,IF(H6="3-Year",G6/3*1.5,IF(H6="Quarterly/HY",G6*0.5,G6)))))+(I6+J6+K6)+(L6+M6*0.2)+IF(U6="Yes",(N6-AE6)*1.25,(N6-AE6))+(O6*0.1+P6*0.075+Q6*0.05+R6*0.1)+(S6*0.3+T6*0.15)))*AI6</f>
        <v>0</v>
      </c>
      <c r="X6" s="45" t="n">
        <f aca="false">IF(D6=0,0,W6/D6)</f>
        <v>0</v>
      </c>
      <c r="Y6" s="20" t="str">
        <f aca="false">IF(X6&lt;0.8,"Below 80%",IF(X6&lt;=1,"80-100%",IF(X6&lt;=1.1,"101-110%",IF(X6&lt;=1.3,"111-130%",IF(X6&lt;=1.5,"131-150%","150%+")))))</f>
        <v>Below 80%</v>
      </c>
      <c r="Z6" s="46" t="n">
        <f aca="false">IF(AJ6="DST",IF(X6&lt;0.8,0,IF(X6&lt;=1,0.04,IF(X6&lt;=1.1,0.05,IF(X6&lt;=1.3,0.06,IF(X6&lt;=1.5,0.07,0.08))))),IF(X6&lt;0.8,0,IF(X6&lt;=1,0.012,IF(X6&lt;=1.1,0.015,IF(X6&lt;=1.3,0.018,IF(X6&lt;=1.5,0.021,0.02))))))</f>
        <v>0</v>
      </c>
      <c r="AA6" s="24" t="n">
        <f aca="false">W6*Z6</f>
        <v>0</v>
      </c>
      <c r="AB6" s="24" t="n">
        <f aca="false">C6+AA6</f>
        <v>30000</v>
      </c>
      <c r="AC6" s="20" t="str">
        <f aca="false">IF(W6&gt;='Employee Master'!P8,"YES","NO")</f>
        <v>NO</v>
      </c>
      <c r="AD6" s="20" t="str">
        <f aca="false">IF(X6&gt;=1.3,"Star",IF(X6&gt;=1,"High",IF(X6&gt;=0.8,"Meets",IF(X6&gt;=0.6,"Below","Non-Performer"))))</f>
        <v>Non-Performer</v>
      </c>
      <c r="AE6" s="26" t="n">
        <v>0</v>
      </c>
      <c r="AF6" s="20" t="n">
        <f aca="false">IF((I6+J6+K6)=0,0,IF((I6+J6+K6)&lt;=300000,0.015,IF((I6+J6+K6)&lt;=500000,0.02,0.03)))</f>
        <v>0</v>
      </c>
      <c r="AG6" s="9" t="n">
        <v>0</v>
      </c>
      <c r="AH6" s="16" t="n">
        <f aca="false">1-AG6</f>
        <v>1</v>
      </c>
      <c r="AI6" s="16" t="n">
        <f aca="false">IF(AH6&gt;=1,1,AH6)</f>
        <v>1</v>
      </c>
      <c r="AJ6" s="8" t="str">
        <f aca="false">IF(AG6=0,"DST","POSP RM")</f>
        <v>DST</v>
      </c>
    </row>
    <row r="7" customFormat="false" ht="15" hidden="false" customHeight="true" outlineLevel="0" collapsed="false">
      <c r="A7" s="20" t="n">
        <v>6</v>
      </c>
      <c r="B7" s="20" t="s">
        <v>142</v>
      </c>
      <c r="C7" s="24" t="n">
        <f aca="false">'Employee Master'!H10</f>
        <v>90000</v>
      </c>
      <c r="D7" s="24" t="n">
        <f aca="false">'Employee Master'!N10</f>
        <v>540000</v>
      </c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W7" s="44" t="n">
        <f aca="false">((IF(U7="Yes",F7*1.25,F7)+IF(U7="Yes",IF(H7="Annual",G7,IF(H7="2-Year",G7/2*1.25,IF(H7="3-Year",G7/3*1.5,IF(H7="Quarterly/HY",G7*0.5,G7))))*1.25,IF(H7="Annual",G7,IF(H7="2-Year",G7/2*1.25,IF(H7="3-Year",G7/3*1.5,IF(H7="Quarterly/HY",G7*0.5,G7)))))+(I7+J7+K7)+(L7+M7*0.2)+IF(U7="Yes",(N7-AE7)*1.25,(N7-AE7))+(O7*0.1+P7*0.075+Q7*0.05+R7*0.1)+(S7*0.3+T7*0.15)))*AI7</f>
        <v>0</v>
      </c>
      <c r="X7" s="45" t="n">
        <f aca="false">IF(D7=0,0,W7/D7)</f>
        <v>0</v>
      </c>
      <c r="Y7" s="20" t="str">
        <f aca="false">IF(X7&lt;0.8,"Below 80%",IF(X7&lt;=1,"80-100%",IF(X7&lt;=1.1,"101-110%",IF(X7&lt;=1.3,"111-130%",IF(X7&lt;=1.5,"131-150%","150%+")))))</f>
        <v>Below 80%</v>
      </c>
      <c r="Z7" s="46" t="n">
        <f aca="false">IF(AJ7="DST",IF(X7&lt;0.8,0,IF(X7&lt;=1,0.04,IF(X7&lt;=1.1,0.05,IF(X7&lt;=1.3,0.06,IF(X7&lt;=1.5,0.07,0.08))))),IF(X7&lt;0.8,0,IF(X7&lt;=1,0.012,IF(X7&lt;=1.1,0.015,IF(X7&lt;=1.3,0.018,IF(X7&lt;=1.5,0.021,0.02))))))</f>
        <v>0</v>
      </c>
      <c r="AA7" s="24" t="n">
        <f aca="false">W7*Z7</f>
        <v>0</v>
      </c>
      <c r="AB7" s="24" t="n">
        <f aca="false">C7+AA7</f>
        <v>90000</v>
      </c>
      <c r="AC7" s="20" t="str">
        <f aca="false">IF(W7&gt;='Employee Master'!P10,"YES","NO")</f>
        <v>NO</v>
      </c>
      <c r="AD7" s="20" t="str">
        <f aca="false">IF(X7&gt;=1.3,"Star",IF(X7&gt;=1,"High",IF(X7&gt;=0.8,"Meets",IF(X7&gt;=0.6,"Below","Non-Performer"))))</f>
        <v>Non-Performer</v>
      </c>
      <c r="AE7" s="26" t="n">
        <v>0</v>
      </c>
      <c r="AF7" s="20" t="n">
        <f aca="false">IF((I7+J7+K7)=0,0,IF((I7+J7+K7)&lt;=300000,0.015,IF((I7+J7+K7)&lt;=500000,0.02,0.03)))</f>
        <v>0</v>
      </c>
      <c r="AG7" s="9" t="n">
        <v>0</v>
      </c>
      <c r="AH7" s="16" t="n">
        <f aca="false">1-AG7</f>
        <v>1</v>
      </c>
      <c r="AI7" s="16" t="n">
        <f aca="false">IF(AH7&gt;=1,1,AH7)</f>
        <v>1</v>
      </c>
      <c r="AJ7" s="8" t="str">
        <f aca="false">IF(AG7=0,"DST","POSP RM")</f>
        <v>DST</v>
      </c>
    </row>
    <row r="8" customFormat="false" ht="15" hidden="false" customHeight="true" outlineLevel="0" collapsed="false">
      <c r="A8" s="20" t="n">
        <v>7</v>
      </c>
      <c r="B8" s="20" t="s">
        <v>146</v>
      </c>
      <c r="C8" s="24" t="n">
        <f aca="false">'Employee Master'!H14</f>
        <v>43700</v>
      </c>
      <c r="D8" s="24" t="n">
        <f aca="false">'Employee Master'!N14</f>
        <v>874000</v>
      </c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W8" s="44" t="n">
        <f aca="false">((IF(U8="Yes",F8*1.25,F8)+IF(U8="Yes",IF(H8="Annual",G8,IF(H8="2-Year",G8/2*1.25,IF(H8="3-Year",G8/3*1.5,IF(H8="Quarterly/HY",G8*0.5,G8))))*1.25,IF(H8="Annual",G8,IF(H8="2-Year",G8/2*1.25,IF(H8="3-Year",G8/3*1.5,IF(H8="Quarterly/HY",G8*0.5,G8)))))+(I8+J8+K8)+(L8+M8*0.2)+IF(U8="Yes",(N8-AE8)*1.25,(N8-AE8))+(O8*0.1+P8*0.075+Q8*0.05+R8*0.1)+(S8*0.3+T8*0.15)))*AI8</f>
        <v>0</v>
      </c>
      <c r="X8" s="45" t="n">
        <f aca="false">IF(D8=0,0,W8/D8)</f>
        <v>0</v>
      </c>
      <c r="Y8" s="20" t="str">
        <f aca="false">IF(X8&lt;0.8,"Below 80%",IF(X8&lt;=1,"80-100%",IF(X8&lt;=1.1,"101-110%",IF(X8&lt;=1.3,"111-130%",IF(X8&lt;=1.5,"131-150%","150%+")))))</f>
        <v>Below 80%</v>
      </c>
      <c r="Z8" s="46" t="n">
        <f aca="false">IF(AJ8="DST",IF(X8&lt;0.8,0,IF(X8&lt;=1,0.04,IF(X8&lt;=1.1,0.05,IF(X8&lt;=1.3,0.06,IF(X8&lt;=1.5,0.07,0.08))))),IF(X8&lt;0.8,0,IF(X8&lt;=1,0.012,IF(X8&lt;=1.1,0.015,IF(X8&lt;=1.3,0.018,IF(X8&lt;=1.5,0.021,0.02))))))</f>
        <v>0</v>
      </c>
      <c r="AA8" s="24" t="n">
        <f aca="false">W8*Z8</f>
        <v>0</v>
      </c>
      <c r="AB8" s="24" t="n">
        <f aca="false">C8+AA8</f>
        <v>43700</v>
      </c>
      <c r="AC8" s="20" t="str">
        <f aca="false">IF(W8&gt;='Employee Master'!P14,"YES","NO")</f>
        <v>NO</v>
      </c>
      <c r="AD8" s="20" t="str">
        <f aca="false">IF(X8&gt;=1.3,"Star",IF(X8&gt;=1,"High",IF(X8&gt;=0.8,"Meets",IF(X8&gt;=0.6,"Below","Non-Performer"))))</f>
        <v>Non-Performer</v>
      </c>
      <c r="AE8" s="26" t="n">
        <v>0</v>
      </c>
      <c r="AF8" s="20" t="n">
        <f aca="false">IF((I8+J8+K8)=0,0,IF((I8+J8+K8)&lt;=300000,0.015,IF((I8+J8+K8)&lt;=500000,0.02,0.03)))</f>
        <v>0</v>
      </c>
      <c r="AG8" s="9" t="n">
        <v>0</v>
      </c>
      <c r="AH8" s="16" t="n">
        <f aca="false">1-AG8</f>
        <v>1</v>
      </c>
      <c r="AI8" s="16" t="n">
        <f aca="false">IF(AH8&gt;=1,1,AH8)</f>
        <v>1</v>
      </c>
      <c r="AJ8" s="8" t="str">
        <f aca="false">IF(AG8=0,"DST","POSP RM")</f>
        <v>DST</v>
      </c>
    </row>
    <row r="9" customFormat="false" ht="15" hidden="false" customHeight="true" outlineLevel="0" collapsed="false">
      <c r="A9" s="20" t="n">
        <v>8</v>
      </c>
      <c r="B9" s="20" t="s">
        <v>148</v>
      </c>
      <c r="C9" s="24" t="n">
        <f aca="false">'Employee Master'!H16</f>
        <v>103500</v>
      </c>
      <c r="D9" s="24" t="n">
        <f aca="false">'Employee Master'!N16</f>
        <v>2380500</v>
      </c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W9" s="44" t="n">
        <f aca="false">((IF(U9="Yes",F9*1.25,F9)+IF(U9="Yes",IF(H9="Annual",G9,IF(H9="2-Year",G9/2*1.25,IF(H9="3-Year",G9/3*1.5,IF(H9="Quarterly/HY",G9*0.5,G9))))*1.25,IF(H9="Annual",G9,IF(H9="2-Year",G9/2*1.25,IF(H9="3-Year",G9/3*1.5,IF(H9="Quarterly/HY",G9*0.5,G9)))))+(I9+J9+K9)+(L9+M9*0.2)+IF(U9="Yes",(N9-AE9)*1.25,(N9-AE9))+(O9*0.1+P9*0.075+Q9*0.05+R9*0.1)+(S9*0.3+T9*0.15)))*AI9</f>
        <v>0</v>
      </c>
      <c r="X9" s="45" t="n">
        <f aca="false">IF(D9=0,0,W9/D9)</f>
        <v>0</v>
      </c>
      <c r="Y9" s="20" t="str">
        <f aca="false">IF(X9&lt;0.8,"Below 80%",IF(X9&lt;=1,"80-100%",IF(X9&lt;=1.1,"101-110%",IF(X9&lt;=1.3,"111-130%",IF(X9&lt;=1.5,"131-150%","150%+")))))</f>
        <v>Below 80%</v>
      </c>
      <c r="Z9" s="46" t="n">
        <f aca="false">IF(AJ9="DST",IF(X9&lt;0.8,0,IF(X9&lt;=1,0.04,IF(X9&lt;=1.1,0.05,IF(X9&lt;=1.3,0.06,IF(X9&lt;=1.5,0.07,0.08))))),IF(X9&lt;0.8,0,IF(X9&lt;=1,0.012,IF(X9&lt;=1.1,0.015,IF(X9&lt;=1.3,0.018,IF(X9&lt;=1.5,0.021,0.02))))))</f>
        <v>0</v>
      </c>
      <c r="AA9" s="24" t="n">
        <f aca="false">W9*Z9</f>
        <v>0</v>
      </c>
      <c r="AB9" s="24" t="n">
        <f aca="false">C9+AA9</f>
        <v>103500</v>
      </c>
      <c r="AC9" s="20" t="str">
        <f aca="false">IF(W9&gt;='Employee Master'!P16,"YES","NO")</f>
        <v>NO</v>
      </c>
      <c r="AD9" s="20" t="str">
        <f aca="false">IF(X9&gt;=1.3,"Star",IF(X9&gt;=1,"High",IF(X9&gt;=0.8,"Meets",IF(X9&gt;=0.6,"Below","Non-Performer"))))</f>
        <v>Non-Performer</v>
      </c>
      <c r="AE9" s="26" t="n">
        <v>0</v>
      </c>
      <c r="AF9" s="20" t="n">
        <f aca="false">IF((I9+J9+K9)=0,0,IF((I9+J9+K9)&lt;=300000,0.015,IF((I9+J9+K9)&lt;=500000,0.02,0.03)))</f>
        <v>0</v>
      </c>
      <c r="AG9" s="9" t="n">
        <v>0</v>
      </c>
      <c r="AH9" s="16" t="n">
        <f aca="false">1-AG9</f>
        <v>1</v>
      </c>
      <c r="AI9" s="16" t="n">
        <f aca="false">IF(AH9&gt;=1,1,AH9)</f>
        <v>1</v>
      </c>
      <c r="AJ9" s="8" t="str">
        <f aca="false">IF(AG9=0,"DST","POSP RM")</f>
        <v>DST</v>
      </c>
    </row>
    <row r="10" customFormat="false" ht="15" hidden="false" customHeight="true" outlineLevel="0" collapsed="false">
      <c r="A10" s="20" t="n">
        <v>9</v>
      </c>
      <c r="B10" s="20" t="s">
        <v>151</v>
      </c>
      <c r="C10" s="24" t="n">
        <f aca="false">'Employee Master'!H19</f>
        <v>18011</v>
      </c>
      <c r="D10" s="24" t="n">
        <f aca="false">'Employee Master'!N19</f>
        <v>108066</v>
      </c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W10" s="44" t="n">
        <f aca="false">((IF(U10="Yes",F10*1.25,F10)+IF(U10="Yes",IF(H10="Annual",G10,IF(H10="2-Year",G10/2*1.25,IF(H10="3-Year",G10/3*1.5,IF(H10="Quarterly/HY",G10*0.5,G10))))*1.25,IF(H10="Annual",G10,IF(H10="2-Year",G10/2*1.25,IF(H10="3-Year",G10/3*1.5,IF(H10="Quarterly/HY",G10*0.5,G10)))))+(I10+J10+K10)+(L10+M10*0.2)+IF(U10="Yes",(N10-AE10)*1.25,(N10-AE10))+(O10*0.1+P10*0.075+Q10*0.05+R10*0.1)+(S10*0.3+T10*0.15)))*AI10</f>
        <v>0</v>
      </c>
      <c r="X10" s="45" t="n">
        <f aca="false">IF(D10=0,0,W10/D10)</f>
        <v>0</v>
      </c>
      <c r="Y10" s="20" t="str">
        <f aca="false">IF(X10&lt;0.8,"Below 80%",IF(X10&lt;=1,"80-100%",IF(X10&lt;=1.1,"101-110%",IF(X10&lt;=1.3,"111-130%",IF(X10&lt;=1.5,"131-150%","150%+")))))</f>
        <v>Below 80%</v>
      </c>
      <c r="Z10" s="46" t="n">
        <f aca="false">IF(AJ10="DST",IF(X10&lt;0.8,0,IF(X10&lt;=1,0.04,IF(X10&lt;=1.1,0.05,IF(X10&lt;=1.3,0.06,IF(X10&lt;=1.5,0.07,0.08))))),IF(X10&lt;0.8,0,IF(X10&lt;=1,0.012,IF(X10&lt;=1.1,0.015,IF(X10&lt;=1.3,0.018,IF(X10&lt;=1.5,0.021,0.02))))))</f>
        <v>0</v>
      </c>
      <c r="AA10" s="24" t="n">
        <f aca="false">W10*Z10</f>
        <v>0</v>
      </c>
      <c r="AB10" s="24" t="n">
        <f aca="false">C10+AA10</f>
        <v>18011</v>
      </c>
      <c r="AC10" s="20" t="str">
        <f aca="false">IF(W10&gt;='Employee Master'!P19,"YES","NO")</f>
        <v>NO</v>
      </c>
      <c r="AD10" s="20" t="str">
        <f aca="false">IF(X10&gt;=1.3,"Star",IF(X10&gt;=1,"High",IF(X10&gt;=0.8,"Meets",IF(X10&gt;=0.6,"Below","Non-Performer"))))</f>
        <v>Non-Performer</v>
      </c>
      <c r="AE10" s="26" t="n">
        <v>0</v>
      </c>
      <c r="AF10" s="20" t="n">
        <f aca="false">IF((I10+J10+K10)=0,0,IF((I10+J10+K10)&lt;=300000,0.015,IF((I10+J10+K10)&lt;=500000,0.02,0.03)))</f>
        <v>0</v>
      </c>
      <c r="AG10" s="9" t="n">
        <v>0</v>
      </c>
      <c r="AH10" s="16" t="n">
        <f aca="false">1-AG10</f>
        <v>1</v>
      </c>
      <c r="AI10" s="16" t="n">
        <f aca="false">IF(AH10&gt;=1,1,AH10)</f>
        <v>1</v>
      </c>
      <c r="AJ10" s="8" t="str">
        <f aca="false">IF(AG10=0,"DST","POSP RM")</f>
        <v>DST</v>
      </c>
    </row>
    <row r="11" customFormat="false" ht="15" hidden="false" customHeight="true" outlineLevel="0" collapsed="false">
      <c r="A11" s="20" t="n">
        <v>10</v>
      </c>
      <c r="B11" s="20" t="s">
        <v>153</v>
      </c>
      <c r="C11" s="24" t="n">
        <f aca="false">'Employee Master'!H21</f>
        <v>27008</v>
      </c>
      <c r="D11" s="24" t="n">
        <f aca="false">'Employee Master'!N21</f>
        <v>162048</v>
      </c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W11" s="44" t="n">
        <f aca="false">((IF(U11="Yes",F11*1.25,F11)+IF(U11="Yes",IF(H11="Annual",G11,IF(H11="2-Year",G11/2*1.25,IF(H11="3-Year",G11/3*1.5,IF(H11="Quarterly/HY",G11*0.5,G11))))*1.25,IF(H11="Annual",G11,IF(H11="2-Year",G11/2*1.25,IF(H11="3-Year",G11/3*1.5,IF(H11="Quarterly/HY",G11*0.5,G11)))))+(I11+J11+K11)+(L11+M11*0.2)+IF(U11="Yes",(N11-AE11)*1.25,(N11-AE11))+(O11*0.1+P11*0.075+Q11*0.05+R11*0.1)+(S11*0.3+T11*0.15)))*AI11</f>
        <v>0</v>
      </c>
      <c r="X11" s="45" t="n">
        <f aca="false">IF(D11=0,0,W11/D11)</f>
        <v>0</v>
      </c>
      <c r="Y11" s="20" t="str">
        <f aca="false">IF(X11&lt;0.8,"Below 80%",IF(X11&lt;=1,"80-100%",IF(X11&lt;=1.1,"101-110%",IF(X11&lt;=1.3,"111-130%",IF(X11&lt;=1.5,"131-150%","150%+")))))</f>
        <v>Below 80%</v>
      </c>
      <c r="Z11" s="46" t="n">
        <f aca="false">IF(AJ11="DST",IF(X11&lt;0.8,0,IF(X11&lt;=1,0.04,IF(X11&lt;=1.1,0.05,IF(X11&lt;=1.3,0.06,IF(X11&lt;=1.5,0.07,0.08))))),IF(X11&lt;0.8,0,IF(X11&lt;=1,0.012,IF(X11&lt;=1.1,0.015,IF(X11&lt;=1.3,0.018,IF(X11&lt;=1.5,0.021,0.02))))))</f>
        <v>0</v>
      </c>
      <c r="AA11" s="24" t="n">
        <f aca="false">W11*Z11</f>
        <v>0</v>
      </c>
      <c r="AB11" s="24" t="n">
        <f aca="false">C11+AA11</f>
        <v>27008</v>
      </c>
      <c r="AC11" s="20" t="str">
        <f aca="false">IF(W11&gt;='Employee Master'!P21,"YES","NO")</f>
        <v>NO</v>
      </c>
      <c r="AD11" s="20" t="str">
        <f aca="false">IF(X11&gt;=1.3,"Star",IF(X11&gt;=1,"High",IF(X11&gt;=0.8,"Meets",IF(X11&gt;=0.6,"Below","Non-Performer"))))</f>
        <v>Non-Performer</v>
      </c>
      <c r="AE11" s="26" t="n">
        <v>0</v>
      </c>
      <c r="AF11" s="20" t="n">
        <f aca="false">IF((I11+J11+K11)=0,0,IF((I11+J11+K11)&lt;=300000,0.015,IF((I11+J11+K11)&lt;=500000,0.02,0.03)))</f>
        <v>0</v>
      </c>
      <c r="AG11" s="9" t="n">
        <v>0</v>
      </c>
      <c r="AH11" s="16" t="n">
        <f aca="false">1-AG11</f>
        <v>1</v>
      </c>
      <c r="AI11" s="16" t="n">
        <f aca="false">IF(AH11&gt;=1,1,AH11)</f>
        <v>1</v>
      </c>
      <c r="AJ11" s="8" t="str">
        <f aca="false">IF(AG11=0,"DST","POSP RM")</f>
        <v>DST</v>
      </c>
    </row>
    <row r="12" customFormat="false" ht="15" hidden="false" customHeight="true" outlineLevel="0" collapsed="false">
      <c r="A12" s="20" t="n">
        <v>11</v>
      </c>
      <c r="B12" s="20" t="s">
        <v>225</v>
      </c>
      <c r="C12" s="24" t="n">
        <f aca="false">'Employee Master'!H22</f>
        <v>43200</v>
      </c>
      <c r="D12" s="24" t="n">
        <f aca="false">'Employee Master'!N22</f>
        <v>259200</v>
      </c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W12" s="44" t="n">
        <f aca="false">((IF(U12="Yes",F12*1.25,F12)+IF(U12="Yes",IF(H12="Annual",G12,IF(H12="2-Year",G12/2*1.25,IF(H12="3-Year",G12/3*1.5,IF(H12="Quarterly/HY",G12*0.5,G12))))*1.25,IF(H12="Annual",G12,IF(H12="2-Year",G12/2*1.25,IF(H12="3-Year",G12/3*1.5,IF(H12="Quarterly/HY",G12*0.5,G12)))))+(I12+J12+K12)+(L12+M12*0.2)+IF(U12="Yes",(N12-AE12)*1.25,(N12-AE12))+(O12*0.1+P12*0.075+Q12*0.05+R12*0.1)+(S12*0.3+T12*0.15)))*AI12</f>
        <v>0</v>
      </c>
      <c r="X12" s="45" t="n">
        <f aca="false">IF(D12=0,0,W12/D12)</f>
        <v>0</v>
      </c>
      <c r="Y12" s="20" t="str">
        <f aca="false">IF(X12&lt;0.8,"Below 80%",IF(X12&lt;=1,"80-100%",IF(X12&lt;=1.1,"101-110%",IF(X12&lt;=1.3,"111-130%",IF(X12&lt;=1.5,"131-150%","150%+")))))</f>
        <v>Below 80%</v>
      </c>
      <c r="Z12" s="46" t="n">
        <f aca="false">IF(AJ12="DST",IF(X12&lt;0.8,0,IF(X12&lt;=1,0.04,IF(X12&lt;=1.1,0.05,IF(X12&lt;=1.3,0.06,IF(X12&lt;=1.5,0.07,0.08))))),IF(X12&lt;0.8,0,IF(X12&lt;=1,0.012,IF(X12&lt;=1.1,0.015,IF(X12&lt;=1.3,0.018,IF(X12&lt;=1.5,0.021,0.02))))))</f>
        <v>0</v>
      </c>
      <c r="AA12" s="24" t="n">
        <f aca="false">W12*Z12</f>
        <v>0</v>
      </c>
      <c r="AB12" s="24" t="n">
        <f aca="false">C12+AA12</f>
        <v>43200</v>
      </c>
      <c r="AC12" s="20" t="str">
        <f aca="false">IF(W12&gt;='Employee Master'!P22,"YES","NO")</f>
        <v>NO</v>
      </c>
      <c r="AD12" s="20" t="str">
        <f aca="false">IF(X12&gt;=1.3,"Star",IF(X12&gt;=1,"High",IF(X12&gt;=0.8,"Meets",IF(X12&gt;=0.6,"Below","Non-Performer"))))</f>
        <v>Non-Performer</v>
      </c>
      <c r="AE12" s="26" t="n">
        <v>0</v>
      </c>
      <c r="AF12" s="20" t="n">
        <f aca="false">IF((I12+J12+K12)=0,0,IF((I12+J12+K12)&lt;=300000,0.015,IF((I12+J12+K12)&lt;=500000,0.02,0.03)))</f>
        <v>0</v>
      </c>
      <c r="AG12" s="9" t="n">
        <v>0</v>
      </c>
      <c r="AH12" s="16" t="n">
        <f aca="false">1-AG12</f>
        <v>1</v>
      </c>
      <c r="AI12" s="16" t="n">
        <f aca="false">IF(AH12&gt;=1,1,AH12)</f>
        <v>1</v>
      </c>
      <c r="AJ12" s="8" t="str">
        <f aca="false">IF(AG12=0,"DST","POSP RM")</f>
        <v>DST</v>
      </c>
    </row>
    <row r="13" customFormat="false" ht="15" hidden="false" customHeight="true" outlineLevel="0" collapsed="false">
      <c r="A13" s="20" t="n">
        <v>12</v>
      </c>
      <c r="B13" s="20" t="s">
        <v>227</v>
      </c>
      <c r="C13" s="24" t="n">
        <f aca="false">'Employee Master'!H23</f>
        <v>28200</v>
      </c>
      <c r="D13" s="24" t="n">
        <f aca="false">'Employee Master'!N23</f>
        <v>169200</v>
      </c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W13" s="44" t="n">
        <f aca="false">((IF(U13="Yes",F13*1.25,F13)+IF(U13="Yes",IF(H13="Annual",G13,IF(H13="2-Year",G13/2*1.25,IF(H13="3-Year",G13/3*1.5,IF(H13="Quarterly/HY",G13*0.5,G13))))*1.25,IF(H13="Annual",G13,IF(H13="2-Year",G13/2*1.25,IF(H13="3-Year",G13/3*1.5,IF(H13="Quarterly/HY",G13*0.5,G13)))))+(I13+J13+K13)+(L13+M13*0.2)+IF(U13="Yes",(N13-AE13)*1.25,(N13-AE13))+(O13*0.1+P13*0.075+Q13*0.05+R13*0.1)+(S13*0.3+T13*0.15)))*AI13</f>
        <v>0</v>
      </c>
      <c r="X13" s="45" t="n">
        <f aca="false">IF(D13=0,0,W13/D13)</f>
        <v>0</v>
      </c>
      <c r="Y13" s="20" t="str">
        <f aca="false">IF(X13&lt;0.8,"Below 80%",IF(X13&lt;=1,"80-100%",IF(X13&lt;=1.1,"101-110%",IF(X13&lt;=1.3,"111-130%",IF(X13&lt;=1.5,"131-150%","150%+")))))</f>
        <v>Below 80%</v>
      </c>
      <c r="Z13" s="46" t="n">
        <f aca="false">IF(AJ13="DST",IF(X13&lt;0.8,0,IF(X13&lt;=1,0.04,IF(X13&lt;=1.1,0.05,IF(X13&lt;=1.3,0.06,IF(X13&lt;=1.5,0.07,0.08))))),IF(X13&lt;0.8,0,IF(X13&lt;=1,0.012,IF(X13&lt;=1.1,0.015,IF(X13&lt;=1.3,0.018,IF(X13&lt;=1.5,0.021,0.02))))))</f>
        <v>0</v>
      </c>
      <c r="AA13" s="24" t="n">
        <f aca="false">W13*Z13</f>
        <v>0</v>
      </c>
      <c r="AB13" s="24" t="n">
        <f aca="false">C13+AA13</f>
        <v>28200</v>
      </c>
      <c r="AC13" s="20" t="str">
        <f aca="false">IF(W13&gt;='Employee Master'!P23,"YES","NO")</f>
        <v>NO</v>
      </c>
      <c r="AD13" s="20" t="str">
        <f aca="false">IF(X13&gt;=1.3,"Star",IF(X13&gt;=1,"High",IF(X13&gt;=0.8,"Meets",IF(X13&gt;=0.6,"Below","Non-Performer"))))</f>
        <v>Non-Performer</v>
      </c>
      <c r="AE13" s="26" t="n">
        <v>0</v>
      </c>
      <c r="AF13" s="20" t="n">
        <f aca="false">IF((I13+J13+K13)=0,0,IF((I13+J13+K13)&lt;=300000,0.015,IF((I13+J13+K13)&lt;=500000,0.02,0.03)))</f>
        <v>0</v>
      </c>
      <c r="AG13" s="9" t="n">
        <v>0</v>
      </c>
      <c r="AH13" s="16" t="n">
        <f aca="false">1-AG13</f>
        <v>1</v>
      </c>
      <c r="AI13" s="16" t="n">
        <f aca="false">IF(AH13&gt;=1,1,AH13)</f>
        <v>1</v>
      </c>
      <c r="AJ13" s="8" t="str">
        <f aca="false">IF(AG13=0,"DST","POSP RM")</f>
        <v>DST</v>
      </c>
    </row>
    <row r="14" customFormat="false" ht="15" hidden="false" customHeight="true" outlineLevel="0" collapsed="false">
      <c r="A14" s="20" t="n">
        <v>13</v>
      </c>
      <c r="B14" s="20" t="s">
        <v>231</v>
      </c>
      <c r="C14" s="24" t="n">
        <f aca="false">'Employee Master'!H24</f>
        <v>28200</v>
      </c>
      <c r="D14" s="24" t="n">
        <f aca="false">'Employee Master'!N24</f>
        <v>169200</v>
      </c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W14" s="44" t="n">
        <f aca="false">((IF(U14="Yes",F14*1.25,F14)+IF(U14="Yes",IF(H14="Annual",G14,IF(H14="2-Year",G14/2*1.25,IF(H14="3-Year",G14/3*1.5,IF(H14="Quarterly/HY",G14*0.5,G14))))*1.25,IF(H14="Annual",G14,IF(H14="2-Year",G14/2*1.25,IF(H14="3-Year",G14/3*1.5,IF(H14="Quarterly/HY",G14*0.5,G14)))))+(I14+J14+K14)+(L14+M14*0.2)+IF(U14="Yes",(N14-AE14)*1.25,(N14-AE14))+(O14*0.1+P14*0.075+Q14*0.05+R14*0.1)+(S14*0.3+T14*0.15)))*AI14</f>
        <v>0</v>
      </c>
      <c r="X14" s="45" t="n">
        <f aca="false">IF(D14=0,0,W14/D14)</f>
        <v>0</v>
      </c>
      <c r="Y14" s="20" t="str">
        <f aca="false">IF(X14&lt;0.8,"Below 80%",IF(X14&lt;=1,"80-100%",IF(X14&lt;=1.1,"101-110%",IF(X14&lt;=1.3,"111-130%",IF(X14&lt;=1.5,"131-150%","150%+")))))</f>
        <v>Below 80%</v>
      </c>
      <c r="Z14" s="46" t="n">
        <f aca="false">IF(AJ14="DST",IF(X14&lt;0.8,0,IF(X14&lt;=1,0.04,IF(X14&lt;=1.1,0.05,IF(X14&lt;=1.3,0.06,IF(X14&lt;=1.5,0.07,0.08))))),IF(X14&lt;0.8,0,IF(X14&lt;=1,0.012,IF(X14&lt;=1.1,0.015,IF(X14&lt;=1.3,0.018,IF(X14&lt;=1.5,0.021,0.02))))))</f>
        <v>0</v>
      </c>
      <c r="AA14" s="24" t="n">
        <f aca="false">W14*Z14</f>
        <v>0</v>
      </c>
      <c r="AB14" s="24" t="n">
        <f aca="false">C14+AA14</f>
        <v>28200</v>
      </c>
      <c r="AC14" s="20" t="str">
        <f aca="false">IF(W14&gt;='Employee Master'!P24,"YES","NO")</f>
        <v>NO</v>
      </c>
      <c r="AD14" s="20" t="str">
        <f aca="false">IF(X14&gt;=1.3,"Star",IF(X14&gt;=1,"High",IF(X14&gt;=0.8,"Meets",IF(X14&gt;=0.6,"Below","Non-Performer"))))</f>
        <v>Non-Performer</v>
      </c>
      <c r="AE14" s="26" t="n">
        <v>0</v>
      </c>
      <c r="AF14" s="20" t="n">
        <f aca="false">IF((I14+J14+K14)=0,0,IF((I14+J14+K14)&lt;=300000,0.015,IF((I14+J14+K14)&lt;=500000,0.02,0.03)))</f>
        <v>0</v>
      </c>
      <c r="AG14" s="9" t="n">
        <v>0</v>
      </c>
      <c r="AH14" s="16" t="n">
        <f aca="false">1-AG14</f>
        <v>1</v>
      </c>
      <c r="AI14" s="16" t="n">
        <f aca="false">IF(AH14&gt;=1,1,AH14)</f>
        <v>1</v>
      </c>
      <c r="AJ14" s="8" t="str">
        <f aca="false">IF(AG14=0,"DST","POSP RM")</f>
        <v>DST</v>
      </c>
    </row>
    <row r="15" customFormat="false" ht="15" hidden="false" customHeight="true" outlineLevel="0" collapsed="false">
      <c r="A15" s="20" t="n">
        <v>14</v>
      </c>
      <c r="B15" s="20" t="s">
        <v>238</v>
      </c>
      <c r="C15" s="24" t="n">
        <f aca="false">'Employee Master'!H27</f>
        <v>13286</v>
      </c>
      <c r="D15" s="24" t="n">
        <f aca="false">'Employee Master'!N27</f>
        <v>79716</v>
      </c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W15" s="44" t="n">
        <f aca="false">((IF(U15="Yes",F15*1.25,F15)+IF(U15="Yes",IF(H15="Annual",G15,IF(H15="2-Year",G15/2*1.25,IF(H15="3-Year",G15/3*1.5,IF(H15="Quarterly/HY",G15*0.5,G15))))*1.25,IF(H15="Annual",G15,IF(H15="2-Year",G15/2*1.25,IF(H15="3-Year",G15/3*1.5,IF(H15="Quarterly/HY",G15*0.5,G15)))))+(I15+J15+K15)+(L15+M15*0.2)+IF(U15="Yes",(N15-AE15)*1.25,(N15-AE15))+(O15*0.1+P15*0.075+Q15*0.05+R15*0.1)+(S15*0.3+T15*0.15)))*AI15</f>
        <v>0</v>
      </c>
      <c r="X15" s="45" t="n">
        <f aca="false">IF(D15=0,0,W15/D15)</f>
        <v>0</v>
      </c>
      <c r="Y15" s="20" t="str">
        <f aca="false">IF(X15&lt;0.8,"Below 80%",IF(X15&lt;=1,"80-100%",IF(X15&lt;=1.1,"101-110%",IF(X15&lt;=1.3,"111-130%",IF(X15&lt;=1.5,"131-150%","150%+")))))</f>
        <v>Below 80%</v>
      </c>
      <c r="Z15" s="46" t="n">
        <f aca="false">IF(AJ15="DST",IF(X15&lt;0.8,0,IF(X15&lt;=1,0.04,IF(X15&lt;=1.1,0.05,IF(X15&lt;=1.3,0.06,IF(X15&lt;=1.5,0.07,0.08))))),IF(X15&lt;0.8,0,IF(X15&lt;=1,0.012,IF(X15&lt;=1.1,0.015,IF(X15&lt;=1.3,0.018,IF(X15&lt;=1.5,0.021,0.02))))))</f>
        <v>0</v>
      </c>
      <c r="AA15" s="24" t="n">
        <f aca="false">W15*Z15</f>
        <v>0</v>
      </c>
      <c r="AB15" s="24" t="n">
        <f aca="false">C15+AA15</f>
        <v>13286</v>
      </c>
      <c r="AC15" s="20" t="str">
        <f aca="false">IF(W15&gt;='Employee Master'!P27,"YES","NO")</f>
        <v>NO</v>
      </c>
      <c r="AD15" s="20" t="str">
        <f aca="false">IF(X15&gt;=1.3,"Star",IF(X15&gt;=1,"High",IF(X15&gt;=0.8,"Meets",IF(X15&gt;=0.6,"Below","Non-Performer"))))</f>
        <v>Non-Performer</v>
      </c>
      <c r="AE15" s="26" t="n">
        <v>0</v>
      </c>
      <c r="AF15" s="20" t="n">
        <f aca="false">IF((I15+J15+K15)=0,0,IF((I15+J15+K15)&lt;=300000,0.015,IF((I15+J15+K15)&lt;=500000,0.02,0.03)))</f>
        <v>0</v>
      </c>
      <c r="AG15" s="9" t="n">
        <v>0</v>
      </c>
      <c r="AH15" s="16" t="n">
        <f aca="false">1-AG15</f>
        <v>1</v>
      </c>
      <c r="AI15" s="16" t="n">
        <f aca="false">IF(AH15&gt;=1,1,AH15)</f>
        <v>1</v>
      </c>
      <c r="AJ15" s="8" t="str">
        <f aca="false">IF(AG15=0,"DST","POSP RM")</f>
        <v>DST</v>
      </c>
    </row>
    <row r="16" customFormat="false" ht="15" hidden="false" customHeight="true" outlineLevel="0" collapsed="false">
      <c r="A16" s="20" t="n">
        <v>15</v>
      </c>
      <c r="B16" s="20" t="s">
        <v>241</v>
      </c>
      <c r="C16" s="24" t="n">
        <f aca="false">'Employee Master'!H28</f>
        <v>23200</v>
      </c>
      <c r="D16" s="24" t="n">
        <f aca="false">'Employee Master'!N28</f>
        <v>139200</v>
      </c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W16" s="44" t="n">
        <f aca="false">((IF(U16="Yes",F16*1.25,F16)+IF(U16="Yes",IF(H16="Annual",G16,IF(H16="2-Year",G16/2*1.25,IF(H16="3-Year",G16/3*1.5,IF(H16="Quarterly/HY",G16*0.5,G16))))*1.25,IF(H16="Annual",G16,IF(H16="2-Year",G16/2*1.25,IF(H16="3-Year",G16/3*1.5,IF(H16="Quarterly/HY",G16*0.5,G16)))))+(I16+J16+K16)+(L16+M16*0.2)+IF(U16="Yes",(N16-AE16)*1.25,(N16-AE16))+(O16*0.1+P16*0.075+Q16*0.05+R16*0.1)+(S16*0.3+T16*0.15)))*AI16</f>
        <v>0</v>
      </c>
      <c r="X16" s="45" t="n">
        <f aca="false">IF(D16=0,0,W16/D16)</f>
        <v>0</v>
      </c>
      <c r="Y16" s="20" t="str">
        <f aca="false">IF(X16&lt;0.8,"Below 80%",IF(X16&lt;=1,"80-100%",IF(X16&lt;=1.1,"101-110%",IF(X16&lt;=1.3,"111-130%",IF(X16&lt;=1.5,"131-150%","150%+")))))</f>
        <v>Below 80%</v>
      </c>
      <c r="Z16" s="46" t="n">
        <f aca="false">IF(AJ16="DST",IF(X16&lt;0.8,0,IF(X16&lt;=1,0.04,IF(X16&lt;=1.1,0.05,IF(X16&lt;=1.3,0.06,IF(X16&lt;=1.5,0.07,0.08))))),IF(X16&lt;0.8,0,IF(X16&lt;=1,0.012,IF(X16&lt;=1.1,0.015,IF(X16&lt;=1.3,0.018,IF(X16&lt;=1.5,0.021,0.02))))))</f>
        <v>0</v>
      </c>
      <c r="AA16" s="24" t="n">
        <f aca="false">W16*Z16</f>
        <v>0</v>
      </c>
      <c r="AB16" s="24" t="n">
        <f aca="false">C16+AA16</f>
        <v>23200</v>
      </c>
      <c r="AC16" s="20" t="str">
        <f aca="false">IF(W16&gt;='Employee Master'!P28,"YES","NO")</f>
        <v>NO</v>
      </c>
      <c r="AD16" s="20" t="str">
        <f aca="false">IF(X16&gt;=1.3,"Star",IF(X16&gt;=1,"High",IF(X16&gt;=0.8,"Meets",IF(X16&gt;=0.6,"Below","Non-Performer"))))</f>
        <v>Non-Performer</v>
      </c>
      <c r="AE16" s="26" t="n">
        <v>0</v>
      </c>
      <c r="AF16" s="20" t="n">
        <f aca="false">IF((I16+J16+K16)=0,0,IF((I16+J16+K16)&lt;=300000,0.015,IF((I16+J16+K16)&lt;=500000,0.02,0.03)))</f>
        <v>0</v>
      </c>
      <c r="AG16" s="9" t="n">
        <v>0</v>
      </c>
      <c r="AH16" s="16" t="n">
        <f aca="false">1-AG16</f>
        <v>1</v>
      </c>
      <c r="AI16" s="16" t="n">
        <f aca="false">IF(AH16&gt;=1,1,AH16)</f>
        <v>1</v>
      </c>
      <c r="AJ16" s="8" t="str">
        <f aca="false">IF(AG16=0,"DST","POSP RM")</f>
        <v>DST</v>
      </c>
    </row>
    <row r="17" customFormat="false" ht="15" hidden="false" customHeight="true" outlineLevel="0" collapsed="false">
      <c r="A17" s="20" t="n">
        <v>16</v>
      </c>
      <c r="B17" s="20" t="s">
        <v>243</v>
      </c>
      <c r="C17" s="24" t="n">
        <f aca="false">'Employee Master'!H29</f>
        <v>38200</v>
      </c>
      <c r="D17" s="24" t="n">
        <f aca="false">'Employee Master'!N29</f>
        <v>229200</v>
      </c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W17" s="44" t="n">
        <f aca="false">((IF(U17="Yes",F17*1.25,F17)+IF(U17="Yes",IF(H17="Annual",G17,IF(H17="2-Year",G17/2*1.25,IF(H17="3-Year",G17/3*1.5,IF(H17="Quarterly/HY",G17*0.5,G17))))*1.25,IF(H17="Annual",G17,IF(H17="2-Year",G17/2*1.25,IF(H17="3-Year",G17/3*1.5,IF(H17="Quarterly/HY",G17*0.5,G17)))))+(I17+J17+K17)+(L17+M17*0.2)+IF(U17="Yes",(N17-AE17)*1.25,(N17-AE17))+(O17*0.1+P17*0.075+Q17*0.05+R17*0.1)+(S17*0.3+T17*0.15)))*AI17</f>
        <v>0</v>
      </c>
      <c r="X17" s="45" t="n">
        <f aca="false">IF(D17=0,0,W17/D17)</f>
        <v>0</v>
      </c>
      <c r="Y17" s="20" t="str">
        <f aca="false">IF(X17&lt;0.8,"Below 80%",IF(X17&lt;=1,"80-100%",IF(X17&lt;=1.1,"101-110%",IF(X17&lt;=1.3,"111-130%",IF(X17&lt;=1.5,"131-150%","150%+")))))</f>
        <v>Below 80%</v>
      </c>
      <c r="Z17" s="46" t="n">
        <f aca="false">IF(AJ17="DST",IF(X17&lt;0.8,0,IF(X17&lt;=1,0.04,IF(X17&lt;=1.1,0.05,IF(X17&lt;=1.3,0.06,IF(X17&lt;=1.5,0.07,0.08))))),IF(X17&lt;0.8,0,IF(X17&lt;=1,0.012,IF(X17&lt;=1.1,0.015,IF(X17&lt;=1.3,0.018,IF(X17&lt;=1.5,0.021,0.02))))))</f>
        <v>0</v>
      </c>
      <c r="AA17" s="24" t="n">
        <f aca="false">W17*Z17</f>
        <v>0</v>
      </c>
      <c r="AB17" s="24" t="n">
        <f aca="false">C17+AA17</f>
        <v>38200</v>
      </c>
      <c r="AC17" s="20" t="str">
        <f aca="false">IF(W17&gt;='Employee Master'!P29,"YES","NO")</f>
        <v>NO</v>
      </c>
      <c r="AD17" s="20" t="str">
        <f aca="false">IF(X17&gt;=1.3,"Star",IF(X17&gt;=1,"High",IF(X17&gt;=0.8,"Meets",IF(X17&gt;=0.6,"Below","Non-Performer"))))</f>
        <v>Non-Performer</v>
      </c>
      <c r="AE17" s="26" t="n">
        <v>0</v>
      </c>
      <c r="AF17" s="20" t="n">
        <f aca="false">IF((I17+J17+K17)=0,0,IF((I17+J17+K17)&lt;=300000,0.015,IF((I17+J17+K17)&lt;=500000,0.02,0.03)))</f>
        <v>0</v>
      </c>
      <c r="AG17" s="9" t="n">
        <v>0</v>
      </c>
      <c r="AH17" s="16" t="n">
        <f aca="false">1-AG17</f>
        <v>1</v>
      </c>
      <c r="AI17" s="16" t="n">
        <f aca="false">IF(AH17&gt;=1,1,AH17)</f>
        <v>1</v>
      </c>
      <c r="AJ17" s="8" t="str">
        <f aca="false">IF(AG17=0,"DST","POSP RM")</f>
        <v>DST</v>
      </c>
    </row>
    <row r="18" customFormat="false" ht="15" hidden="false" customHeight="true" outlineLevel="0" collapsed="false">
      <c r="A18" s="20" t="n">
        <v>17</v>
      </c>
      <c r="B18" s="20" t="s">
        <v>248</v>
      </c>
      <c r="C18" s="24" t="n">
        <f aca="false">'Employee Master'!H31</f>
        <v>48200</v>
      </c>
      <c r="D18" s="24" t="n">
        <f aca="false">'Employee Master'!N31</f>
        <v>289200</v>
      </c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W18" s="44" t="n">
        <f aca="false">((IF(U18="Yes",F18*1.25,F18)+IF(U18="Yes",IF(H18="Annual",G18,IF(H18="2-Year",G18/2*1.25,IF(H18="3-Year",G18/3*1.5,IF(H18="Quarterly/HY",G18*0.5,G18))))*1.25,IF(H18="Annual",G18,IF(H18="2-Year",G18/2*1.25,IF(H18="3-Year",G18/3*1.5,IF(H18="Quarterly/HY",G18*0.5,G18)))))+(I18+J18+K18)+(L18+M18*0.2)+IF(U18="Yes",(N18-AE18)*1.25,(N18-AE18))+(O18*0.1+P18*0.075+Q18*0.05+R18*0.1)+(S18*0.3+T18*0.15)))*AI18</f>
        <v>0</v>
      </c>
      <c r="X18" s="45" t="n">
        <f aca="false">IF(D18=0,0,W18/D18)</f>
        <v>0</v>
      </c>
      <c r="Y18" s="20" t="str">
        <f aca="false">IF(X18&lt;0.8,"Below 80%",IF(X18&lt;=1,"80-100%",IF(X18&lt;=1.1,"101-110%",IF(X18&lt;=1.3,"111-130%",IF(X18&lt;=1.5,"131-150%","150%+")))))</f>
        <v>Below 80%</v>
      </c>
      <c r="Z18" s="46" t="n">
        <f aca="false">IF(AJ18="DST",IF(X18&lt;0.8,0,IF(X18&lt;=1,0.04,IF(X18&lt;=1.1,0.05,IF(X18&lt;=1.3,0.06,IF(X18&lt;=1.5,0.07,0.08))))),IF(X18&lt;0.8,0,IF(X18&lt;=1,0.012,IF(X18&lt;=1.1,0.015,IF(X18&lt;=1.3,0.018,IF(X18&lt;=1.5,0.021,0.02))))))</f>
        <v>0</v>
      </c>
      <c r="AA18" s="24" t="n">
        <f aca="false">W18*Z18</f>
        <v>0</v>
      </c>
      <c r="AB18" s="24" t="n">
        <f aca="false">C18+AA18</f>
        <v>48200</v>
      </c>
      <c r="AC18" s="20" t="str">
        <f aca="false">IF(W18&gt;='Employee Master'!P31,"YES","NO")</f>
        <v>NO</v>
      </c>
      <c r="AD18" s="20" t="str">
        <f aca="false">IF(X18&gt;=1.3,"Star",IF(X18&gt;=1,"High",IF(X18&gt;=0.8,"Meets",IF(X18&gt;=0.6,"Below","Non-Performer"))))</f>
        <v>Non-Performer</v>
      </c>
      <c r="AE18" s="26" t="n">
        <v>0</v>
      </c>
      <c r="AF18" s="20" t="n">
        <f aca="false">IF((I18+J18+K18)=0,0,IF((I18+J18+K18)&lt;=300000,0.015,IF((I18+J18+K18)&lt;=500000,0.02,0.03)))</f>
        <v>0</v>
      </c>
      <c r="AG18" s="9" t="n">
        <v>0</v>
      </c>
      <c r="AH18" s="16" t="n">
        <f aca="false">1-AG18</f>
        <v>1</v>
      </c>
      <c r="AI18" s="16" t="n">
        <f aca="false">IF(AH18&gt;=1,1,AH18)</f>
        <v>1</v>
      </c>
      <c r="AJ18" s="8" t="str">
        <f aca="false">IF(AG18=0,"DST","POSP RM")</f>
        <v>DST</v>
      </c>
    </row>
    <row r="19" customFormat="false" ht="15" hidden="false" customHeight="true" outlineLevel="0" collapsed="false">
      <c r="A19" s="20" t="n">
        <v>18</v>
      </c>
      <c r="B19" s="20" t="s">
        <v>253</v>
      </c>
      <c r="C19" s="24" t="n">
        <f aca="false">'Employee Master'!H33</f>
        <v>16209</v>
      </c>
      <c r="D19" s="24" t="n">
        <f aca="false">'Employee Master'!N33</f>
        <v>97254</v>
      </c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W19" s="44" t="n">
        <f aca="false">((IF(U19="Yes",F19*1.25,F19)+IF(U19="Yes",IF(H19="Annual",G19,IF(H19="2-Year",G19/2*1.25,IF(H19="3-Year",G19/3*1.5,IF(H19="Quarterly/HY",G19*0.5,G19))))*1.25,IF(H19="Annual",G19,IF(H19="2-Year",G19/2*1.25,IF(H19="3-Year",G19/3*1.5,IF(H19="Quarterly/HY",G19*0.5,G19)))))+(I19+J19+K19)+(L19+M19*0.2)+IF(U19="Yes",(N19-AE19)*1.25,(N19-AE19))+(O19*0.1+P19*0.075+Q19*0.05+R19*0.1)+(S19*0.3+T19*0.15)))*AI19</f>
        <v>0</v>
      </c>
      <c r="X19" s="45" t="n">
        <f aca="false">IF(D19=0,0,W19/D19)</f>
        <v>0</v>
      </c>
      <c r="Y19" s="20" t="str">
        <f aca="false">IF(X19&lt;0.8,"Below 80%",IF(X19&lt;=1,"80-100%",IF(X19&lt;=1.1,"101-110%",IF(X19&lt;=1.3,"111-130%",IF(X19&lt;=1.5,"131-150%","150%+")))))</f>
        <v>Below 80%</v>
      </c>
      <c r="Z19" s="46" t="n">
        <f aca="false">IF(AJ19="DST",IF(X19&lt;0.8,0,IF(X19&lt;=1,0.04,IF(X19&lt;=1.1,0.05,IF(X19&lt;=1.3,0.06,IF(X19&lt;=1.5,0.07,0.08))))),IF(X19&lt;0.8,0,IF(X19&lt;=1,0.012,IF(X19&lt;=1.1,0.015,IF(X19&lt;=1.3,0.018,IF(X19&lt;=1.5,0.021,0.02))))))</f>
        <v>0</v>
      </c>
      <c r="AA19" s="24" t="n">
        <f aca="false">W19*Z19</f>
        <v>0</v>
      </c>
      <c r="AB19" s="24" t="n">
        <f aca="false">C19+AA19</f>
        <v>16209</v>
      </c>
      <c r="AC19" s="20" t="str">
        <f aca="false">IF(W19&gt;='Employee Master'!P33,"YES","NO")</f>
        <v>NO</v>
      </c>
      <c r="AD19" s="20" t="str">
        <f aca="false">IF(X19&gt;=1.3,"Star",IF(X19&gt;=1,"High",IF(X19&gt;=0.8,"Meets",IF(X19&gt;=0.6,"Below","Non-Performer"))))</f>
        <v>Non-Performer</v>
      </c>
      <c r="AE19" s="26" t="n">
        <v>0</v>
      </c>
      <c r="AF19" s="20" t="n">
        <f aca="false">IF((I19+J19+K19)=0,0,IF((I19+J19+K19)&lt;=300000,0.015,IF((I19+J19+K19)&lt;=500000,0.02,0.03)))</f>
        <v>0</v>
      </c>
      <c r="AG19" s="9" t="n">
        <v>0</v>
      </c>
      <c r="AH19" s="16" t="n">
        <f aca="false">1-AG19</f>
        <v>1</v>
      </c>
      <c r="AI19" s="16" t="n">
        <f aca="false">IF(AH19&gt;=1,1,AH19)</f>
        <v>1</v>
      </c>
      <c r="AJ19" s="8" t="str">
        <f aca="false">IF(AG19=0,"DST","POSP RM")</f>
        <v>DST</v>
      </c>
    </row>
    <row r="20" customFormat="false" ht="15" hidden="false" customHeight="true" outlineLevel="0" collapsed="false">
      <c r="A20" s="20" t="n">
        <v>19</v>
      </c>
      <c r="B20" s="20" t="s">
        <v>256</v>
      </c>
      <c r="C20" s="24" t="n">
        <f aca="false">'Employee Master'!H34</f>
        <v>95833</v>
      </c>
      <c r="D20" s="24" t="n">
        <f aca="false">'Employee Master'!N34</f>
        <v>2204159</v>
      </c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W20" s="44" t="n">
        <f aca="false">((IF(U20="Yes",F20*1.25,F20)+IF(U20="Yes",IF(H20="Annual",G20,IF(H20="2-Year",G20/2*1.25,IF(H20="3-Year",G20/3*1.5,IF(H20="Quarterly/HY",G20*0.5,G20))))*1.25,IF(H20="Annual",G20,IF(H20="2-Year",G20/2*1.25,IF(H20="3-Year",G20/3*1.5,IF(H20="Quarterly/HY",G20*0.5,G20)))))+(I20+J20+K20)+(L20+M20*0.2)+IF(U20="Yes",(N20-AE20)*1.25,(N20-AE20))+(O20*0.1+P20*0.075+Q20*0.05+R20*0.1)+(S20*0.3+T20*0.15)))*AI20</f>
        <v>0</v>
      </c>
      <c r="X20" s="45" t="n">
        <f aca="false">IF(D20=0,0,W20/D20)</f>
        <v>0</v>
      </c>
      <c r="Y20" s="20" t="str">
        <f aca="false">IF(X20&lt;0.8,"Below 80%",IF(X20&lt;=1,"80-100%",IF(X20&lt;=1.1,"101-110%",IF(X20&lt;=1.3,"111-130%",IF(X20&lt;=1.5,"131-150%","150%+")))))</f>
        <v>Below 80%</v>
      </c>
      <c r="Z20" s="46" t="n">
        <f aca="false">IF(AJ20="DST",IF(X20&lt;0.8,0,IF(X20&lt;=1,0.04,IF(X20&lt;=1.1,0.05,IF(X20&lt;=1.3,0.06,IF(X20&lt;=1.5,0.07,0.08))))),IF(X20&lt;0.8,0,IF(X20&lt;=1,0.012,IF(X20&lt;=1.1,0.015,IF(X20&lt;=1.3,0.018,IF(X20&lt;=1.5,0.021,0.02))))))</f>
        <v>0</v>
      </c>
      <c r="AA20" s="24" t="n">
        <f aca="false">W20*Z20</f>
        <v>0</v>
      </c>
      <c r="AB20" s="24" t="n">
        <f aca="false">C20+AA20</f>
        <v>95833</v>
      </c>
      <c r="AC20" s="20" t="str">
        <f aca="false">IF(W20&gt;='Employee Master'!P34,"YES","NO")</f>
        <v>NO</v>
      </c>
      <c r="AD20" s="20" t="str">
        <f aca="false">IF(X20&gt;=1.3,"Star",IF(X20&gt;=1,"High",IF(X20&gt;=0.8,"Meets",IF(X20&gt;=0.6,"Below","Non-Performer"))))</f>
        <v>Non-Performer</v>
      </c>
      <c r="AE20" s="26" t="n">
        <v>0</v>
      </c>
      <c r="AF20" s="20" t="n">
        <f aca="false">IF((I20+J20+K20)=0,0,IF((I20+J20+K20)&lt;=300000,0.015,IF((I20+J20+K20)&lt;=500000,0.02,0.03)))</f>
        <v>0</v>
      </c>
      <c r="AG20" s="9" t="n">
        <v>0</v>
      </c>
      <c r="AH20" s="16" t="n">
        <f aca="false">1-AG20</f>
        <v>1</v>
      </c>
      <c r="AI20" s="16" t="n">
        <f aca="false">IF(AH20&gt;=1,1,AH20)</f>
        <v>1</v>
      </c>
      <c r="AJ20" s="8" t="str">
        <f aca="false">IF(AG20=0,"DST","POSP RM")</f>
        <v>DST</v>
      </c>
    </row>
    <row r="21" customFormat="false" ht="15" hidden="false" customHeight="true" outlineLevel="0" collapsed="false">
      <c r="A21" s="20" t="n">
        <v>20</v>
      </c>
      <c r="B21" s="20" t="s">
        <v>262</v>
      </c>
      <c r="C21" s="24" t="n">
        <f aca="false">'Employee Master'!H36</f>
        <v>13507</v>
      </c>
      <c r="D21" s="24" t="n">
        <f aca="false">'Employee Master'!N36</f>
        <v>81042</v>
      </c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W21" s="44" t="n">
        <f aca="false">((IF(U21="Yes",F21*1.25,F21)+IF(U21="Yes",IF(H21="Annual",G21,IF(H21="2-Year",G21/2*1.25,IF(H21="3-Year",G21/3*1.5,IF(H21="Quarterly/HY",G21*0.5,G21))))*1.25,IF(H21="Annual",G21,IF(H21="2-Year",G21/2*1.25,IF(H21="3-Year",G21/3*1.5,IF(H21="Quarterly/HY",G21*0.5,G21)))))+(I21+J21+K21)+(L21+M21*0.2)+IF(U21="Yes",(N21-AE21)*1.25,(N21-AE21))+(O21*0.1+P21*0.075+Q21*0.05+R21*0.1)+(S21*0.3+T21*0.15)))*AI21</f>
        <v>0</v>
      </c>
      <c r="X21" s="45" t="n">
        <f aca="false">IF(D21=0,0,W21/D21)</f>
        <v>0</v>
      </c>
      <c r="Y21" s="20" t="str">
        <f aca="false">IF(X21&lt;0.8,"Below 80%",IF(X21&lt;=1,"80-100%",IF(X21&lt;=1.1,"101-110%",IF(X21&lt;=1.3,"111-130%",IF(X21&lt;=1.5,"131-150%","150%+")))))</f>
        <v>Below 80%</v>
      </c>
      <c r="Z21" s="46" t="n">
        <f aca="false">IF(AJ21="DST",IF(X21&lt;0.8,0,IF(X21&lt;=1,0.04,IF(X21&lt;=1.1,0.05,IF(X21&lt;=1.3,0.06,IF(X21&lt;=1.5,0.07,0.08))))),IF(X21&lt;0.8,0,IF(X21&lt;=1,0.012,IF(X21&lt;=1.1,0.015,IF(X21&lt;=1.3,0.018,IF(X21&lt;=1.5,0.021,0.02))))))</f>
        <v>0</v>
      </c>
      <c r="AA21" s="24" t="n">
        <f aca="false">W21*Z21</f>
        <v>0</v>
      </c>
      <c r="AB21" s="24" t="n">
        <f aca="false">C21+AA21</f>
        <v>13507</v>
      </c>
      <c r="AC21" s="20" t="str">
        <f aca="false">IF(W21&gt;='Employee Master'!P36,"YES","NO")</f>
        <v>NO</v>
      </c>
      <c r="AD21" s="20" t="str">
        <f aca="false">IF(X21&gt;=1.3,"Star",IF(X21&gt;=1,"High",IF(X21&gt;=0.8,"Meets",IF(X21&gt;=0.6,"Below","Non-Performer"))))</f>
        <v>Non-Performer</v>
      </c>
      <c r="AE21" s="26" t="n">
        <v>0</v>
      </c>
      <c r="AF21" s="20" t="n">
        <f aca="false">IF((I21+J21+K21)=0,0,IF((I21+J21+K21)&lt;=300000,0.015,IF((I21+J21+K21)&lt;=500000,0.02,0.03)))</f>
        <v>0</v>
      </c>
      <c r="AG21" s="9" t="n">
        <v>0</v>
      </c>
      <c r="AH21" s="16" t="n">
        <f aca="false">1-AG21</f>
        <v>1</v>
      </c>
      <c r="AI21" s="16" t="n">
        <f aca="false">IF(AH21&gt;=1,1,AH21)</f>
        <v>1</v>
      </c>
      <c r="AJ21" s="8" t="str">
        <f aca="false">IF(AG21=0,"DST","POSP RM")</f>
        <v>DST</v>
      </c>
    </row>
    <row r="22" customFormat="false" ht="15" hidden="false" customHeight="true" outlineLevel="0" collapsed="false">
      <c r="A22" s="20" t="n">
        <v>21</v>
      </c>
      <c r="B22" s="20" t="s">
        <v>271</v>
      </c>
      <c r="C22" s="24" t="n">
        <f aca="false">'Employee Master'!H39</f>
        <v>30363</v>
      </c>
      <c r="D22" s="24" t="n">
        <f aca="false">'Employee Master'!N39</f>
        <v>182178</v>
      </c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W22" s="44" t="n">
        <f aca="false">((IF(U22="Yes",F22*1.25,F22)+IF(U22="Yes",IF(H22="Annual",G22,IF(H22="2-Year",G22/2*1.25,IF(H22="3-Year",G22/3*1.5,IF(H22="Quarterly/HY",G22*0.5,G22))))*1.25,IF(H22="Annual",G22,IF(H22="2-Year",G22/2*1.25,IF(H22="3-Year",G22/3*1.5,IF(H22="Quarterly/HY",G22*0.5,G22)))))+(I22+J22+K22)+(L22+M22*0.2)+IF(U22="Yes",(N22-AE22)*1.25,(N22-AE22))+(O22*0.1+P22*0.075+Q22*0.05+R22*0.1)+(S22*0.3+T22*0.15)))*AI22</f>
        <v>0</v>
      </c>
      <c r="X22" s="45" t="n">
        <f aca="false">IF(D22=0,0,W22/D22)</f>
        <v>0</v>
      </c>
      <c r="Y22" s="20" t="str">
        <f aca="false">IF(X22&lt;0.8,"Below 80%",IF(X22&lt;=1,"80-100%",IF(X22&lt;=1.1,"101-110%",IF(X22&lt;=1.3,"111-130%",IF(X22&lt;=1.5,"131-150%","150%+")))))</f>
        <v>Below 80%</v>
      </c>
      <c r="Z22" s="46" t="n">
        <f aca="false">IF(AJ22="DST",IF(X22&lt;0.8,0,IF(X22&lt;=1,0.04,IF(X22&lt;=1.1,0.05,IF(X22&lt;=1.3,0.06,IF(X22&lt;=1.5,0.07,0.08))))),IF(X22&lt;0.8,0,IF(X22&lt;=1,0.012,IF(X22&lt;=1.1,0.015,IF(X22&lt;=1.3,0.018,IF(X22&lt;=1.5,0.021,0.02))))))</f>
        <v>0</v>
      </c>
      <c r="AA22" s="24" t="n">
        <f aca="false">W22*Z22</f>
        <v>0</v>
      </c>
      <c r="AB22" s="24" t="n">
        <f aca="false">C22+AA22</f>
        <v>30363</v>
      </c>
      <c r="AC22" s="20" t="str">
        <f aca="false">IF(W22&gt;='Employee Master'!P39,"YES","NO")</f>
        <v>NO</v>
      </c>
      <c r="AD22" s="20" t="str">
        <f aca="false">IF(X22&gt;=1.3,"Star",IF(X22&gt;=1,"High",IF(X22&gt;=0.8,"Meets",IF(X22&gt;=0.6,"Below","Non-Performer"))))</f>
        <v>Non-Performer</v>
      </c>
      <c r="AE22" s="26" t="n">
        <v>0</v>
      </c>
      <c r="AF22" s="20" t="n">
        <f aca="false">IF((I22+J22+K22)=0,0,IF((I22+J22+K22)&lt;=300000,0.015,IF((I22+J22+K22)&lt;=500000,0.02,0.03)))</f>
        <v>0</v>
      </c>
      <c r="AG22" s="9" t="n">
        <v>0</v>
      </c>
      <c r="AH22" s="16" t="n">
        <f aca="false">1-AG22</f>
        <v>1</v>
      </c>
      <c r="AI22" s="16" t="n">
        <f aca="false">IF(AH22&gt;=1,1,AH22)</f>
        <v>1</v>
      </c>
      <c r="AJ22" s="8" t="str">
        <f aca="false">IF(AG22=0,"DST","POSP RM")</f>
        <v>DST</v>
      </c>
    </row>
    <row r="23" customFormat="false" ht="15" hidden="false" customHeight="true" outlineLevel="0" collapsed="false">
      <c r="A23" s="20" t="n">
        <v>22</v>
      </c>
      <c r="B23" s="20" t="s">
        <v>274</v>
      </c>
      <c r="C23" s="24" t="n">
        <f aca="false">'Employee Master'!H40</f>
        <v>44035</v>
      </c>
      <c r="D23" s="24" t="n">
        <f aca="false">'Employee Master'!N40</f>
        <v>880700</v>
      </c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W23" s="44" t="n">
        <f aca="false">((IF(U23="Yes",F23*1.25,F23)+IF(U23="Yes",IF(H23="Annual",G23,IF(H23="2-Year",G23/2*1.25,IF(H23="3-Year",G23/3*1.5,IF(H23="Quarterly/HY",G23*0.5,G23))))*1.25,IF(H23="Annual",G23,IF(H23="2-Year",G23/2*1.25,IF(H23="3-Year",G23/3*1.5,IF(H23="Quarterly/HY",G23*0.5,G23)))))+(I23+J23+K23)+(L23+M23*0.2)+IF(U23="Yes",(N23-AE23)*1.25,(N23-AE23))+(O23*0.1+P23*0.075+Q23*0.05+R23*0.1)+(S23*0.3+T23*0.15)))*AI23</f>
        <v>0</v>
      </c>
      <c r="X23" s="45" t="n">
        <f aca="false">IF(D23=0,0,W23/D23)</f>
        <v>0</v>
      </c>
      <c r="Y23" s="20" t="str">
        <f aca="false">IF(X23&lt;0.8,"Below 80%",IF(X23&lt;=1,"80-100%",IF(X23&lt;=1.1,"101-110%",IF(X23&lt;=1.3,"111-130%",IF(X23&lt;=1.5,"131-150%","150%+")))))</f>
        <v>Below 80%</v>
      </c>
      <c r="Z23" s="46" t="n">
        <f aca="false">IF(AJ23="DST",IF(X23&lt;0.8,0,IF(X23&lt;=1,0.04,IF(X23&lt;=1.1,0.05,IF(X23&lt;=1.3,0.06,IF(X23&lt;=1.5,0.07,0.08))))),IF(X23&lt;0.8,0,IF(X23&lt;=1,0.012,IF(X23&lt;=1.1,0.015,IF(X23&lt;=1.3,0.018,IF(X23&lt;=1.5,0.021,0.02))))))</f>
        <v>0</v>
      </c>
      <c r="AA23" s="24" t="n">
        <f aca="false">W23*Z23</f>
        <v>0</v>
      </c>
      <c r="AB23" s="24" t="n">
        <f aca="false">C23+AA23</f>
        <v>44035</v>
      </c>
      <c r="AC23" s="20" t="str">
        <f aca="false">IF(W23&gt;='Employee Master'!P40,"YES","NO")</f>
        <v>NO</v>
      </c>
      <c r="AD23" s="20" t="str">
        <f aca="false">IF(X23&gt;=1.3,"Star",IF(X23&gt;=1,"High",IF(X23&gt;=0.8,"Meets",IF(X23&gt;=0.6,"Below","Non-Performer"))))</f>
        <v>Non-Performer</v>
      </c>
      <c r="AE23" s="26" t="n">
        <v>0</v>
      </c>
      <c r="AF23" s="20" t="n">
        <f aca="false">IF((I23+J23+K23)=0,0,IF((I23+J23+K23)&lt;=300000,0.015,IF((I23+J23+K23)&lt;=500000,0.02,0.03)))</f>
        <v>0</v>
      </c>
      <c r="AG23" s="9" t="n">
        <v>0</v>
      </c>
      <c r="AH23" s="16" t="n">
        <f aca="false">1-AG23</f>
        <v>1</v>
      </c>
      <c r="AI23" s="16" t="n">
        <f aca="false">IF(AH23&gt;=1,1,AH23)</f>
        <v>1</v>
      </c>
      <c r="AJ23" s="8" t="str">
        <f aca="false">IF(AG23=0,"DST","POSP RM")</f>
        <v>DST</v>
      </c>
    </row>
    <row r="24" customFormat="false" ht="15" hidden="false" customHeight="true" outlineLevel="0" collapsed="false">
      <c r="A24" s="20" t="n">
        <v>23</v>
      </c>
      <c r="B24" s="20" t="s">
        <v>277</v>
      </c>
      <c r="C24" s="24" t="n">
        <f aca="false">'Employee Master'!H41</f>
        <v>41534</v>
      </c>
      <c r="D24" s="24" t="n">
        <f aca="false">'Employee Master'!N41</f>
        <v>830680</v>
      </c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W24" s="44" t="n">
        <f aca="false">((IF(U24="Yes",F24*1.25,F24)+IF(U24="Yes",IF(H24="Annual",G24,IF(H24="2-Year",G24/2*1.25,IF(H24="3-Year",G24/3*1.5,IF(H24="Quarterly/HY",G24*0.5,G24))))*1.25,IF(H24="Annual",G24,IF(H24="2-Year",G24/2*1.25,IF(H24="3-Year",G24/3*1.5,IF(H24="Quarterly/HY",G24*0.5,G24)))))+(I24+J24+K24)+(L24+M24*0.2)+IF(U24="Yes",(N24-AE24)*1.25,(N24-AE24))+(O24*0.1+P24*0.075+Q24*0.05+R24*0.1)+(S24*0.3+T24*0.15)))*AI24</f>
        <v>0</v>
      </c>
      <c r="X24" s="45" t="n">
        <f aca="false">IF(D24=0,0,W24/D24)</f>
        <v>0</v>
      </c>
      <c r="Y24" s="20" t="str">
        <f aca="false">IF(X24&lt;0.8,"Below 80%",IF(X24&lt;=1,"80-100%",IF(X24&lt;=1.1,"101-110%",IF(X24&lt;=1.3,"111-130%",IF(X24&lt;=1.5,"131-150%","150%+")))))</f>
        <v>Below 80%</v>
      </c>
      <c r="Z24" s="46" t="n">
        <f aca="false">IF(AJ24="DST",IF(X24&lt;0.8,0,IF(X24&lt;=1,0.04,IF(X24&lt;=1.1,0.05,IF(X24&lt;=1.3,0.06,IF(X24&lt;=1.5,0.07,0.08))))),IF(X24&lt;0.8,0,IF(X24&lt;=1,0.012,IF(X24&lt;=1.1,0.015,IF(X24&lt;=1.3,0.018,IF(X24&lt;=1.5,0.021,0.02))))))</f>
        <v>0</v>
      </c>
      <c r="AA24" s="24" t="n">
        <f aca="false">W24*Z24</f>
        <v>0</v>
      </c>
      <c r="AB24" s="24" t="n">
        <f aca="false">C24+AA24</f>
        <v>41534</v>
      </c>
      <c r="AC24" s="20" t="str">
        <f aca="false">IF(W24&gt;='Employee Master'!P41,"YES","NO")</f>
        <v>NO</v>
      </c>
      <c r="AD24" s="20" t="str">
        <f aca="false">IF(X24&gt;=1.3,"Star",IF(X24&gt;=1,"High",IF(X24&gt;=0.8,"Meets",IF(X24&gt;=0.6,"Below","Non-Performer"))))</f>
        <v>Non-Performer</v>
      </c>
      <c r="AE24" s="26" t="n">
        <v>0</v>
      </c>
      <c r="AF24" s="20" t="n">
        <f aca="false">IF((I24+J24+K24)=0,0,IF((I24+J24+K24)&lt;=300000,0.015,IF((I24+J24+K24)&lt;=500000,0.02,0.03)))</f>
        <v>0</v>
      </c>
      <c r="AG24" s="9" t="n">
        <v>0</v>
      </c>
      <c r="AH24" s="16" t="n">
        <f aca="false">1-AG24</f>
        <v>1</v>
      </c>
      <c r="AI24" s="16" t="n">
        <f aca="false">IF(AH24&gt;=1,1,AH24)</f>
        <v>1</v>
      </c>
      <c r="AJ24" s="8" t="str">
        <f aca="false">IF(AG24=0,"DST","POSP RM")</f>
        <v>DST</v>
      </c>
    </row>
    <row r="25" customFormat="false" ht="15" hidden="false" customHeight="true" outlineLevel="0" collapsed="false">
      <c r="A25" s="20" t="n">
        <v>24</v>
      </c>
      <c r="B25" s="20" t="s">
        <v>279</v>
      </c>
      <c r="C25" s="24" t="n">
        <f aca="false">'Employee Master'!H42</f>
        <v>18009</v>
      </c>
      <c r="D25" s="24" t="n">
        <f aca="false">'Employee Master'!N42</f>
        <v>108054</v>
      </c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W25" s="44" t="n">
        <f aca="false">((IF(U25="Yes",F25*1.25,F25)+IF(U25="Yes",IF(H25="Annual",G25,IF(H25="2-Year",G25/2*1.25,IF(H25="3-Year",G25/3*1.5,IF(H25="Quarterly/HY",G25*0.5,G25))))*1.25,IF(H25="Annual",G25,IF(H25="2-Year",G25/2*1.25,IF(H25="3-Year",G25/3*1.5,IF(H25="Quarterly/HY",G25*0.5,G25)))))+(I25+J25+K25)+(L25+M25*0.2)+IF(U25="Yes",(N25-AE25)*1.25,(N25-AE25))+(O25*0.1+P25*0.075+Q25*0.05+R25*0.1)+(S25*0.3+T25*0.15)))*AI25</f>
        <v>0</v>
      </c>
      <c r="X25" s="45" t="n">
        <f aca="false">IF(D25=0,0,W25/D25)</f>
        <v>0</v>
      </c>
      <c r="Y25" s="20" t="str">
        <f aca="false">IF(X25&lt;0.8,"Below 80%",IF(X25&lt;=1,"80-100%",IF(X25&lt;=1.1,"101-110%",IF(X25&lt;=1.3,"111-130%",IF(X25&lt;=1.5,"131-150%","150%+")))))</f>
        <v>Below 80%</v>
      </c>
      <c r="Z25" s="46" t="n">
        <f aca="false">IF(AJ25="DST",IF(X25&lt;0.8,0,IF(X25&lt;=1,0.04,IF(X25&lt;=1.1,0.05,IF(X25&lt;=1.3,0.06,IF(X25&lt;=1.5,0.07,0.08))))),IF(X25&lt;0.8,0,IF(X25&lt;=1,0.012,IF(X25&lt;=1.1,0.015,IF(X25&lt;=1.3,0.018,IF(X25&lt;=1.5,0.021,0.02))))))</f>
        <v>0</v>
      </c>
      <c r="AA25" s="24" t="n">
        <f aca="false">W25*Z25</f>
        <v>0</v>
      </c>
      <c r="AB25" s="24" t="n">
        <f aca="false">C25+AA25</f>
        <v>18009</v>
      </c>
      <c r="AC25" s="20" t="str">
        <f aca="false">IF(W25&gt;='Employee Master'!P42,"YES","NO")</f>
        <v>NO</v>
      </c>
      <c r="AD25" s="20" t="str">
        <f aca="false">IF(X25&gt;=1.3,"Star",IF(X25&gt;=1,"High",IF(X25&gt;=0.8,"Meets",IF(X25&gt;=0.6,"Below","Non-Performer"))))</f>
        <v>Non-Performer</v>
      </c>
      <c r="AE25" s="26" t="n">
        <v>0</v>
      </c>
      <c r="AF25" s="20" t="n">
        <f aca="false">IF((I25+J25+K25)=0,0,IF((I25+J25+K25)&lt;=300000,0.015,IF((I25+J25+K25)&lt;=500000,0.02,0.03)))</f>
        <v>0</v>
      </c>
      <c r="AG25" s="9" t="n">
        <v>0</v>
      </c>
      <c r="AH25" s="16" t="n">
        <f aca="false">1-AG25</f>
        <v>1</v>
      </c>
      <c r="AI25" s="16" t="n">
        <f aca="false">IF(AH25&gt;=1,1,AH25)</f>
        <v>1</v>
      </c>
      <c r="AJ25" s="8" t="str">
        <f aca="false">IF(AG25=0,"DST","POSP RM")</f>
        <v>DST</v>
      </c>
    </row>
    <row r="26" customFormat="false" ht="15" hidden="false" customHeight="true" outlineLevel="0" collapsed="false">
      <c r="A26" s="20" t="n">
        <v>25</v>
      </c>
      <c r="B26" s="20" t="s">
        <v>281</v>
      </c>
      <c r="C26" s="24" t="n">
        <f aca="false">'Employee Master'!H43</f>
        <v>66117</v>
      </c>
      <c r="D26" s="24" t="n">
        <f aca="false">'Employee Master'!N43</f>
        <v>1322340</v>
      </c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W26" s="44" t="n">
        <f aca="false">((IF(U26="Yes",F26*1.25,F26)+IF(U26="Yes",IF(H26="Annual",G26,IF(H26="2-Year",G26/2*1.25,IF(H26="3-Year",G26/3*1.5,IF(H26="Quarterly/HY",G26*0.5,G26))))*1.25,IF(H26="Annual",G26,IF(H26="2-Year",G26/2*1.25,IF(H26="3-Year",G26/3*1.5,IF(H26="Quarterly/HY",G26*0.5,G26)))))+(I26+J26+K26)+(L26+M26*0.2)+IF(U26="Yes",(N26-AE26)*1.25,(N26-AE26))+(O26*0.1+P26*0.075+Q26*0.05+R26*0.1)+(S26*0.3+T26*0.15)))*AI26</f>
        <v>0</v>
      </c>
      <c r="X26" s="45" t="n">
        <f aca="false">IF(D26=0,0,W26/D26)</f>
        <v>0</v>
      </c>
      <c r="Y26" s="20" t="str">
        <f aca="false">IF(X26&lt;0.8,"Below 80%",IF(X26&lt;=1,"80-100%",IF(X26&lt;=1.1,"101-110%",IF(X26&lt;=1.3,"111-130%",IF(X26&lt;=1.5,"131-150%","150%+")))))</f>
        <v>Below 80%</v>
      </c>
      <c r="Z26" s="46" t="n">
        <f aca="false">IF(AJ26="DST",IF(X26&lt;0.8,0,IF(X26&lt;=1,0.04,IF(X26&lt;=1.1,0.05,IF(X26&lt;=1.3,0.06,IF(X26&lt;=1.5,0.07,0.08))))),IF(X26&lt;0.8,0,IF(X26&lt;=1,0.012,IF(X26&lt;=1.1,0.015,IF(X26&lt;=1.3,0.018,IF(X26&lt;=1.5,0.021,0.02))))))</f>
        <v>0</v>
      </c>
      <c r="AA26" s="24" t="n">
        <f aca="false">W26*Z26</f>
        <v>0</v>
      </c>
      <c r="AB26" s="24" t="n">
        <f aca="false">C26+AA26</f>
        <v>66117</v>
      </c>
      <c r="AC26" s="20" t="str">
        <f aca="false">IF(W26&gt;='Employee Master'!P43,"YES","NO")</f>
        <v>NO</v>
      </c>
      <c r="AD26" s="20" t="str">
        <f aca="false">IF(X26&gt;=1.3,"Star",IF(X26&gt;=1,"High",IF(X26&gt;=0.8,"Meets",IF(X26&gt;=0.6,"Below","Non-Performer"))))</f>
        <v>Non-Performer</v>
      </c>
      <c r="AE26" s="26" t="n">
        <v>0</v>
      </c>
      <c r="AF26" s="20" t="n">
        <f aca="false">IF((I26+J26+K26)=0,0,IF((I26+J26+K26)&lt;=300000,0.015,IF((I26+J26+K26)&lt;=500000,0.02,0.03)))</f>
        <v>0</v>
      </c>
      <c r="AG26" s="9" t="n">
        <v>0</v>
      </c>
      <c r="AH26" s="16" t="n">
        <f aca="false">1-AG26</f>
        <v>1</v>
      </c>
      <c r="AI26" s="16" t="n">
        <f aca="false">IF(AH26&gt;=1,1,AH26)</f>
        <v>1</v>
      </c>
      <c r="AJ26" s="8" t="str">
        <f aca="false">IF(AG26=0,"DST","POSP RM")</f>
        <v>DST</v>
      </c>
    </row>
    <row r="27" customFormat="false" ht="15" hidden="false" customHeight="true" outlineLevel="0" collapsed="false">
      <c r="A27" s="20" t="n">
        <v>26</v>
      </c>
      <c r="B27" s="20" t="s">
        <v>284</v>
      </c>
      <c r="C27" s="24" t="n">
        <f aca="false">'Employee Master'!H44</f>
        <v>6000</v>
      </c>
      <c r="D27" s="24" t="n">
        <f aca="false">'Employee Master'!N44</f>
        <v>36000</v>
      </c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W27" s="44" t="n">
        <f aca="false">((IF(U27="Yes",F27*1.25,F27)+IF(U27="Yes",IF(H27="Annual",G27,IF(H27="2-Year",G27/2*1.25,IF(H27="3-Year",G27/3*1.5,IF(H27="Quarterly/HY",G27*0.5,G27))))*1.25,IF(H27="Annual",G27,IF(H27="2-Year",G27/2*1.25,IF(H27="3-Year",G27/3*1.5,IF(H27="Quarterly/HY",G27*0.5,G27)))))+(I27+J27+K27)+(L27+M27*0.2)+IF(U27="Yes",(N27-AE27)*1.25,(N27-AE27))+(O27*0.1+P27*0.075+Q27*0.05+R27*0.1)+(S27*0.3+T27*0.15)))*AI27</f>
        <v>0</v>
      </c>
      <c r="X27" s="45" t="n">
        <f aca="false">IF(D27=0,0,W27/D27)</f>
        <v>0</v>
      </c>
      <c r="Y27" s="20" t="str">
        <f aca="false">IF(X27&lt;0.8,"Below 80%",IF(X27&lt;=1,"80-100%",IF(X27&lt;=1.1,"101-110%",IF(X27&lt;=1.3,"111-130%",IF(X27&lt;=1.5,"131-150%","150%+")))))</f>
        <v>Below 80%</v>
      </c>
      <c r="Z27" s="46" t="n">
        <f aca="false">IF(AJ27="DST",IF(X27&lt;0.8,0,IF(X27&lt;=1,0.04,IF(X27&lt;=1.1,0.05,IF(X27&lt;=1.3,0.06,IF(X27&lt;=1.5,0.07,0.08))))),IF(X27&lt;0.8,0,IF(X27&lt;=1,0.012,IF(X27&lt;=1.1,0.015,IF(X27&lt;=1.3,0.018,IF(X27&lt;=1.5,0.021,0.02))))))</f>
        <v>0</v>
      </c>
      <c r="AA27" s="24" t="n">
        <f aca="false">W27*Z27</f>
        <v>0</v>
      </c>
      <c r="AB27" s="24" t="n">
        <f aca="false">C27+AA27</f>
        <v>6000</v>
      </c>
      <c r="AC27" s="20" t="str">
        <f aca="false">IF(W27&gt;='Employee Master'!P44,"YES","NO")</f>
        <v>NO</v>
      </c>
      <c r="AD27" s="20" t="str">
        <f aca="false">IF(X27&gt;=1.3,"Star",IF(X27&gt;=1,"High",IF(X27&gt;=0.8,"Meets",IF(X27&gt;=0.6,"Below","Non-Performer"))))</f>
        <v>Non-Performer</v>
      </c>
      <c r="AE27" s="26" t="n">
        <v>0</v>
      </c>
      <c r="AF27" s="20" t="n">
        <f aca="false">IF((I27+J27+K27)=0,0,IF((I27+J27+K27)&lt;=300000,0.015,IF((I27+J27+K27)&lt;=500000,0.02,0.03)))</f>
        <v>0</v>
      </c>
      <c r="AG27" s="9" t="n">
        <v>0</v>
      </c>
      <c r="AH27" s="16" t="n">
        <f aca="false">1-AG27</f>
        <v>1</v>
      </c>
      <c r="AI27" s="16" t="n">
        <f aca="false">IF(AH27&gt;=1,1,AH27)</f>
        <v>1</v>
      </c>
      <c r="AJ27" s="8" t="str">
        <f aca="false">IF(AG27=0,"DST","POSP RM")</f>
        <v>DST</v>
      </c>
    </row>
    <row r="28" customFormat="false" ht="15" hidden="false" customHeight="true" outlineLevel="0" collapsed="false">
      <c r="A28" s="20" t="n">
        <v>27</v>
      </c>
      <c r="B28" s="20" t="s">
        <v>289</v>
      </c>
      <c r="C28" s="24" t="n">
        <f aca="false">'Employee Master'!H46</f>
        <v>112008</v>
      </c>
      <c r="D28" s="24" t="n">
        <f aca="false">'Employee Master'!N46</f>
        <v>2240160</v>
      </c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W28" s="44" t="n">
        <f aca="false">((IF(U28="Yes",F28*1.25,F28)+IF(U28="Yes",IF(H28="Annual",G28,IF(H28="2-Year",G28/2*1.25,IF(H28="3-Year",G28/3*1.5,IF(H28="Quarterly/HY",G28*0.5,G28))))*1.25,IF(H28="Annual",G28,IF(H28="2-Year",G28/2*1.25,IF(H28="3-Year",G28/3*1.5,IF(H28="Quarterly/HY",G28*0.5,G28)))))+(I28+J28+K28)+(L28+M28*0.2)+IF(U28="Yes",(N28-AE28)*1.25,(N28-AE28))+(O28*0.1+P28*0.075+Q28*0.05+R28*0.1)+(S28*0.3+T28*0.15)))*AI28</f>
        <v>0</v>
      </c>
      <c r="X28" s="45" t="n">
        <f aca="false">IF(D28=0,0,W28/D28)</f>
        <v>0</v>
      </c>
      <c r="Y28" s="20" t="str">
        <f aca="false">IF(X28&lt;0.8,"Below 80%",IF(X28&lt;=1,"80-100%",IF(X28&lt;=1.1,"101-110%",IF(X28&lt;=1.3,"111-130%",IF(X28&lt;=1.5,"131-150%","150%+")))))</f>
        <v>Below 80%</v>
      </c>
      <c r="Z28" s="46" t="n">
        <f aca="false">IF(AJ28="DST",IF(X28&lt;0.8,0,IF(X28&lt;=1,0.04,IF(X28&lt;=1.1,0.05,IF(X28&lt;=1.3,0.06,IF(X28&lt;=1.5,0.07,0.08))))),IF(X28&lt;0.8,0,IF(X28&lt;=1,0.012,IF(X28&lt;=1.1,0.015,IF(X28&lt;=1.3,0.018,IF(X28&lt;=1.5,0.021,0.02))))))</f>
        <v>0</v>
      </c>
      <c r="AA28" s="24" t="n">
        <f aca="false">W28*Z28</f>
        <v>0</v>
      </c>
      <c r="AB28" s="24" t="n">
        <f aca="false">C28+AA28</f>
        <v>112008</v>
      </c>
      <c r="AC28" s="20" t="str">
        <f aca="false">IF(W28&gt;='Employee Master'!P46,"YES","NO")</f>
        <v>NO</v>
      </c>
      <c r="AD28" s="20" t="str">
        <f aca="false">IF(X28&gt;=1.3,"Star",IF(X28&gt;=1,"High",IF(X28&gt;=0.8,"Meets",IF(X28&gt;=0.6,"Below","Non-Performer"))))</f>
        <v>Non-Performer</v>
      </c>
      <c r="AE28" s="26" t="n">
        <v>0</v>
      </c>
      <c r="AF28" s="20" t="n">
        <f aca="false">IF((I28+J28+K28)=0,0,IF((I28+J28+K28)&lt;=300000,0.015,IF((I28+J28+K28)&lt;=500000,0.02,0.03)))</f>
        <v>0</v>
      </c>
      <c r="AG28" s="9" t="n">
        <v>0</v>
      </c>
      <c r="AH28" s="16" t="n">
        <f aca="false">1-AG28</f>
        <v>1</v>
      </c>
      <c r="AI28" s="16" t="n">
        <f aca="false">IF(AH28&gt;=1,1,AH28)</f>
        <v>1</v>
      </c>
      <c r="AJ28" s="8" t="str">
        <f aca="false">IF(AG28=0,"DST","POSP RM")</f>
        <v>DST</v>
      </c>
    </row>
    <row r="29" customFormat="false" ht="15" hidden="false" customHeight="true" outlineLevel="0" collapsed="false">
      <c r="A29" s="20" t="n">
        <v>28</v>
      </c>
      <c r="B29" s="20" t="s">
        <v>298</v>
      </c>
      <c r="C29" s="24" t="n">
        <f aca="false">'Employee Master'!H49</f>
        <v>300000</v>
      </c>
      <c r="D29" s="24" t="n">
        <f aca="false">'Employee Master'!N49</f>
        <v>0</v>
      </c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W29" s="44" t="n">
        <f aca="false">((IF(U29="Yes",F29*1.25,F29)+IF(U29="Yes",IF(H29="Annual",G29,IF(H29="2-Year",G29/2*1.25,IF(H29="3-Year",G29/3*1.5,IF(H29="Quarterly/HY",G29*0.5,G29))))*1.25,IF(H29="Annual",G29,IF(H29="2-Year",G29/2*1.25,IF(H29="3-Year",G29/3*1.5,IF(H29="Quarterly/HY",G29*0.5,G29)))))+(I29+J29+K29)+(L29+M29*0.2)+IF(U29="Yes",(N29-AE29)*1.25,(N29-AE29))+(O29*0.1+P29*0.075+Q29*0.05+R29*0.1)+(S29*0.3+T29*0.15)))*AI29</f>
        <v>0</v>
      </c>
      <c r="X29" s="45" t="n">
        <f aca="false">IF(D29=0,0,W29/D29)</f>
        <v>0</v>
      </c>
      <c r="Y29" s="20" t="str">
        <f aca="false">IF(X29&lt;0.8,"Below 80%",IF(X29&lt;=1,"80-100%",IF(X29&lt;=1.1,"101-110%",IF(X29&lt;=1.3,"111-130%",IF(X29&lt;=1.5,"131-150%","150%+")))))</f>
        <v>Below 80%</v>
      </c>
      <c r="Z29" s="46" t="n">
        <f aca="false">IF(AJ29="DST",IF(X29&lt;0.8,0,IF(X29&lt;=1,0.04,IF(X29&lt;=1.1,0.05,IF(X29&lt;=1.3,0.06,IF(X29&lt;=1.5,0.07,0.08))))),IF(X29&lt;0.8,0,IF(X29&lt;=1,0.012,IF(X29&lt;=1.1,0.015,IF(X29&lt;=1.3,0.018,IF(X29&lt;=1.5,0.021,0.02))))))</f>
        <v>0</v>
      </c>
      <c r="AA29" s="24" t="n">
        <f aca="false">W29*Z29</f>
        <v>0</v>
      </c>
      <c r="AB29" s="24" t="n">
        <f aca="false">C29+AA29</f>
        <v>300000</v>
      </c>
      <c r="AC29" s="20" t="str">
        <f aca="false">IF(W29&gt;='Employee Master'!P49,"YES","NO")</f>
        <v>NO</v>
      </c>
      <c r="AD29" s="20" t="str">
        <f aca="false">IF(X29&gt;=1.3,"Star",IF(X29&gt;=1,"High",IF(X29&gt;=0.8,"Meets",IF(X29&gt;=0.6,"Below","Non-Performer"))))</f>
        <v>Non-Performer</v>
      </c>
      <c r="AE29" s="26" t="n">
        <v>0</v>
      </c>
      <c r="AF29" s="20" t="n">
        <f aca="false">IF((I29+J29+K29)=0,0,IF((I29+J29+K29)&lt;=300000,0.015,IF((I29+J29+K29)&lt;=500000,0.02,0.03)))</f>
        <v>0</v>
      </c>
      <c r="AG29" s="9" t="n">
        <v>0</v>
      </c>
      <c r="AH29" s="16" t="n">
        <f aca="false">1-AG29</f>
        <v>1</v>
      </c>
      <c r="AI29" s="16" t="n">
        <f aca="false">IF(AH29&gt;=1,1,AH29)</f>
        <v>1</v>
      </c>
      <c r="AJ29" s="8" t="str">
        <f aca="false">IF(AG29=0,"DST","POSP RM")</f>
        <v>DST</v>
      </c>
    </row>
    <row r="30" customFormat="false" ht="15" hidden="false" customHeight="true" outlineLevel="0" collapsed="false">
      <c r="A30" s="20" t="n">
        <v>29</v>
      </c>
      <c r="B30" s="20" t="s">
        <v>306</v>
      </c>
      <c r="C30" s="24" t="n">
        <f aca="false">'Employee Master'!H51</f>
        <v>28200</v>
      </c>
      <c r="D30" s="24" t="n">
        <f aca="false">'Employee Master'!N51</f>
        <v>169200</v>
      </c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W30" s="44" t="n">
        <f aca="false">((IF(U30="Yes",F30*1.25,F30)+IF(U30="Yes",IF(H30="Annual",G30,IF(H30="2-Year",G30/2*1.25,IF(H30="3-Year",G30/3*1.5,IF(H30="Quarterly/HY",G30*0.5,G30))))*1.25,IF(H30="Annual",G30,IF(H30="2-Year",G30/2*1.25,IF(H30="3-Year",G30/3*1.5,IF(H30="Quarterly/HY",G30*0.5,G30)))))+(I30+J30+K30)+(L30+M30*0.2)+IF(U30="Yes",(N30-AE30)*1.25,(N30-AE30))+(O30*0.1+P30*0.075+Q30*0.05+R30*0.1)+(S30*0.3+T30*0.15)))*AI30</f>
        <v>0</v>
      </c>
      <c r="X30" s="45" t="n">
        <f aca="false">IF(D30=0,0,W30/D30)</f>
        <v>0</v>
      </c>
      <c r="Y30" s="20" t="str">
        <f aca="false">IF(X30&lt;0.8,"Below 80%",IF(X30&lt;=1,"80-100%",IF(X30&lt;=1.1,"101-110%",IF(X30&lt;=1.3,"111-130%",IF(X30&lt;=1.5,"131-150%","150%+")))))</f>
        <v>Below 80%</v>
      </c>
      <c r="Z30" s="46" t="n">
        <f aca="false">IF(AJ30="DST",IF(X30&lt;0.8,0,IF(X30&lt;=1,0.04,IF(X30&lt;=1.1,0.05,IF(X30&lt;=1.3,0.06,IF(X30&lt;=1.5,0.07,0.08))))),IF(X30&lt;0.8,0,IF(X30&lt;=1,0.012,IF(X30&lt;=1.1,0.015,IF(X30&lt;=1.3,0.018,IF(X30&lt;=1.5,0.021,0.02))))))</f>
        <v>0</v>
      </c>
      <c r="AA30" s="24" t="n">
        <f aca="false">W30*Z30</f>
        <v>0</v>
      </c>
      <c r="AB30" s="24" t="n">
        <f aca="false">C30+AA30</f>
        <v>28200</v>
      </c>
      <c r="AC30" s="20" t="str">
        <f aca="false">IF(W30&gt;='Employee Master'!P51,"YES","NO")</f>
        <v>NO</v>
      </c>
      <c r="AD30" s="20" t="str">
        <f aca="false">IF(X30&gt;=1.3,"Star",IF(X30&gt;=1,"High",IF(X30&gt;=0.8,"Meets",IF(X30&gt;=0.6,"Below","Non-Performer"))))</f>
        <v>Non-Performer</v>
      </c>
      <c r="AE30" s="26" t="n">
        <v>0</v>
      </c>
      <c r="AF30" s="20" t="n">
        <f aca="false">IF((I30+J30+K30)=0,0,IF((I30+J30+K30)&lt;=300000,0.015,IF((I30+J30+K30)&lt;=500000,0.02,0.03)))</f>
        <v>0</v>
      </c>
      <c r="AG30" s="9" t="n">
        <v>0</v>
      </c>
      <c r="AH30" s="16" t="n">
        <f aca="false">1-AG30</f>
        <v>1</v>
      </c>
      <c r="AI30" s="16" t="n">
        <f aca="false">IF(AH30&gt;=1,1,AH30)</f>
        <v>1</v>
      </c>
      <c r="AJ30" s="8" t="str">
        <f aca="false">IF(AG30=0,"DST","POSP RM")</f>
        <v>DST</v>
      </c>
    </row>
    <row r="31" customFormat="false" ht="15" hidden="false" customHeight="true" outlineLevel="0" collapsed="false">
      <c r="A31" s="20" t="n">
        <v>30</v>
      </c>
      <c r="B31" s="20" t="s">
        <v>308</v>
      </c>
      <c r="C31" s="24" t="n">
        <f aca="false">'Employee Master'!H52</f>
        <v>20427</v>
      </c>
      <c r="D31" s="24" t="n">
        <f aca="false">'Employee Master'!N52</f>
        <v>408540</v>
      </c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W31" s="44" t="n">
        <f aca="false">((IF(U31="Yes",F31*1.25,F31)+IF(U31="Yes",IF(H31="Annual",G31,IF(H31="2-Year",G31/2*1.25,IF(H31="3-Year",G31/3*1.5,IF(H31="Quarterly/HY",G31*0.5,G31))))*1.25,IF(H31="Annual",G31,IF(H31="2-Year",G31/2*1.25,IF(H31="3-Year",G31/3*1.5,IF(H31="Quarterly/HY",G31*0.5,G31)))))+(I31+J31+K31)+(L31+M31*0.2)+IF(U31="Yes",(N31-AE31)*1.25,(N31-AE31))+(O31*0.1+P31*0.075+Q31*0.05+R31*0.1)+(S31*0.3+T31*0.15)))*AI31</f>
        <v>0</v>
      </c>
      <c r="X31" s="45" t="n">
        <f aca="false">IF(D31=0,0,W31/D31)</f>
        <v>0</v>
      </c>
      <c r="Y31" s="20" t="str">
        <f aca="false">IF(X31&lt;0.8,"Below 80%",IF(X31&lt;=1,"80-100%",IF(X31&lt;=1.1,"101-110%",IF(X31&lt;=1.3,"111-130%",IF(X31&lt;=1.5,"131-150%","150%+")))))</f>
        <v>Below 80%</v>
      </c>
      <c r="Z31" s="46" t="n">
        <f aca="false">IF(AJ31="DST",IF(X31&lt;0.8,0,IF(X31&lt;=1,0.04,IF(X31&lt;=1.1,0.05,IF(X31&lt;=1.3,0.06,IF(X31&lt;=1.5,0.07,0.08))))),IF(X31&lt;0.8,0,IF(X31&lt;=1,0.012,IF(X31&lt;=1.1,0.015,IF(X31&lt;=1.3,0.018,IF(X31&lt;=1.5,0.021,0.02))))))</f>
        <v>0</v>
      </c>
      <c r="AA31" s="24" t="n">
        <f aca="false">W31*Z31</f>
        <v>0</v>
      </c>
      <c r="AB31" s="24" t="n">
        <f aca="false">C31+AA31</f>
        <v>20427</v>
      </c>
      <c r="AC31" s="20" t="str">
        <f aca="false">IF(W31&gt;='Employee Master'!P52,"YES","NO")</f>
        <v>NO</v>
      </c>
      <c r="AD31" s="20" t="str">
        <f aca="false">IF(X31&gt;=1.3,"Star",IF(X31&gt;=1,"High",IF(X31&gt;=0.8,"Meets",IF(X31&gt;=0.6,"Below","Non-Performer"))))</f>
        <v>Non-Performer</v>
      </c>
      <c r="AE31" s="26" t="n">
        <v>0</v>
      </c>
      <c r="AF31" s="20" t="n">
        <f aca="false">IF((I31+J31+K31)=0,0,IF((I31+J31+K31)&lt;=300000,0.015,IF((I31+J31+K31)&lt;=500000,0.02,0.03)))</f>
        <v>0</v>
      </c>
      <c r="AG31" s="9" t="n">
        <v>0</v>
      </c>
      <c r="AH31" s="16" t="n">
        <f aca="false">1-AG31</f>
        <v>1</v>
      </c>
      <c r="AI31" s="16" t="n">
        <f aca="false">IF(AH31&gt;=1,1,AH31)</f>
        <v>1</v>
      </c>
      <c r="AJ31" s="8" t="str">
        <f aca="false">IF(AG31=0,"DST","POSP RM")</f>
        <v>DST</v>
      </c>
    </row>
    <row r="32" customFormat="false" ht="15" hidden="false" customHeight="true" outlineLevel="0" collapsed="false">
      <c r="A32" s="20" t="n">
        <v>31</v>
      </c>
      <c r="B32" s="20" t="s">
        <v>310</v>
      </c>
      <c r="C32" s="24" t="n">
        <f aca="false">'Employee Master'!H53</f>
        <v>52009</v>
      </c>
      <c r="D32" s="24" t="n">
        <f aca="false">'Employee Master'!N53</f>
        <v>1040180</v>
      </c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W32" s="44" t="n">
        <f aca="false">((IF(U32="Yes",F32*1.25,F32)+IF(U32="Yes",IF(H32="Annual",G32,IF(H32="2-Year",G32/2*1.25,IF(H32="3-Year",G32/3*1.5,IF(H32="Quarterly/HY",G32*0.5,G32))))*1.25,IF(H32="Annual",G32,IF(H32="2-Year",G32/2*1.25,IF(H32="3-Year",G32/3*1.5,IF(H32="Quarterly/HY",G32*0.5,G32)))))+(I32+J32+K32)+(L32+M32*0.2)+IF(U32="Yes",(N32-AE32)*1.25,(N32-AE32))+(O32*0.1+P32*0.075+Q32*0.05+R32*0.1)+(S32*0.3+T32*0.15)))*AI32</f>
        <v>0</v>
      </c>
      <c r="X32" s="45" t="n">
        <f aca="false">IF(D32=0,0,W32/D32)</f>
        <v>0</v>
      </c>
      <c r="Y32" s="20" t="str">
        <f aca="false">IF(X32&lt;0.8,"Below 80%",IF(X32&lt;=1,"80-100%",IF(X32&lt;=1.1,"101-110%",IF(X32&lt;=1.3,"111-130%",IF(X32&lt;=1.5,"131-150%","150%+")))))</f>
        <v>Below 80%</v>
      </c>
      <c r="Z32" s="46" t="n">
        <f aca="false">IF(AJ32="DST",IF(X32&lt;0.8,0,IF(X32&lt;=1,0.04,IF(X32&lt;=1.1,0.05,IF(X32&lt;=1.3,0.06,IF(X32&lt;=1.5,0.07,0.08))))),IF(X32&lt;0.8,0,IF(X32&lt;=1,0.012,IF(X32&lt;=1.1,0.015,IF(X32&lt;=1.3,0.018,IF(X32&lt;=1.5,0.021,0.02))))))</f>
        <v>0</v>
      </c>
      <c r="AA32" s="24" t="n">
        <f aca="false">W32*Z32</f>
        <v>0</v>
      </c>
      <c r="AB32" s="24" t="n">
        <f aca="false">C32+AA32</f>
        <v>52009</v>
      </c>
      <c r="AC32" s="20" t="str">
        <f aca="false">IF(W32&gt;='Employee Master'!P53,"YES","NO")</f>
        <v>NO</v>
      </c>
      <c r="AD32" s="20" t="str">
        <f aca="false">IF(X32&gt;=1.3,"Star",IF(X32&gt;=1,"High",IF(X32&gt;=0.8,"Meets",IF(X32&gt;=0.6,"Below","Non-Performer"))))</f>
        <v>Non-Performer</v>
      </c>
      <c r="AE32" s="26" t="n">
        <v>0</v>
      </c>
      <c r="AF32" s="20" t="n">
        <f aca="false">IF((I32+J32+K32)=0,0,IF((I32+J32+K32)&lt;=300000,0.015,IF((I32+J32+K32)&lt;=500000,0.02,0.03)))</f>
        <v>0</v>
      </c>
      <c r="AG32" s="9" t="n">
        <v>0</v>
      </c>
      <c r="AH32" s="16" t="n">
        <f aca="false">1-AG32</f>
        <v>1</v>
      </c>
      <c r="AI32" s="16" t="n">
        <f aca="false">IF(AH32&gt;=1,1,AH32)</f>
        <v>1</v>
      </c>
      <c r="AJ32" s="8" t="str">
        <f aca="false">IF(AG32=0,"DST","POSP RM")</f>
        <v>DST</v>
      </c>
    </row>
    <row r="33" customFormat="false" ht="15" hidden="false" customHeight="true" outlineLevel="0" collapsed="false">
      <c r="A33" s="20" t="n">
        <v>32</v>
      </c>
      <c r="B33" s="20" t="s">
        <v>312</v>
      </c>
      <c r="C33" s="24" t="n">
        <f aca="false">'Employee Master'!H54</f>
        <v>67008</v>
      </c>
      <c r="D33" s="24" t="n">
        <f aca="false">'Employee Master'!N54</f>
        <v>1340160</v>
      </c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W33" s="44" t="n">
        <f aca="false">((IF(U33="Yes",F33*1.25,F33)+IF(U33="Yes",IF(H33="Annual",G33,IF(H33="2-Year",G33/2*1.25,IF(H33="3-Year",G33/3*1.5,IF(H33="Quarterly/HY",G33*0.5,G33))))*1.25,IF(H33="Annual",G33,IF(H33="2-Year",G33/2*1.25,IF(H33="3-Year",G33/3*1.5,IF(H33="Quarterly/HY",G33*0.5,G33)))))+(I33+J33+K33)+(L33+M33*0.2)+IF(U33="Yes",(N33-AE33)*1.25,(N33-AE33))+(O33*0.1+P33*0.075+Q33*0.05+R33*0.1)+(S33*0.3+T33*0.15)))*AI33</f>
        <v>0</v>
      </c>
      <c r="X33" s="45" t="n">
        <f aca="false">IF(D33=0,0,W33/D33)</f>
        <v>0</v>
      </c>
      <c r="Y33" s="20" t="str">
        <f aca="false">IF(X33&lt;0.8,"Below 80%",IF(X33&lt;=1,"80-100%",IF(X33&lt;=1.1,"101-110%",IF(X33&lt;=1.3,"111-130%",IF(X33&lt;=1.5,"131-150%","150%+")))))</f>
        <v>Below 80%</v>
      </c>
      <c r="Z33" s="46" t="n">
        <f aca="false">IF(AJ33="DST",IF(X33&lt;0.8,0,IF(X33&lt;=1,0.04,IF(X33&lt;=1.1,0.05,IF(X33&lt;=1.3,0.06,IF(X33&lt;=1.5,0.07,0.08))))),IF(X33&lt;0.8,0,IF(X33&lt;=1,0.012,IF(X33&lt;=1.1,0.015,IF(X33&lt;=1.3,0.018,IF(X33&lt;=1.5,0.021,0.02))))))</f>
        <v>0</v>
      </c>
      <c r="AA33" s="24" t="n">
        <f aca="false">W33*Z33</f>
        <v>0</v>
      </c>
      <c r="AB33" s="24" t="n">
        <f aca="false">C33+AA33</f>
        <v>67008</v>
      </c>
      <c r="AC33" s="20" t="str">
        <f aca="false">IF(W33&gt;='Employee Master'!P54,"YES","NO")</f>
        <v>NO</v>
      </c>
      <c r="AD33" s="20" t="str">
        <f aca="false">IF(X33&gt;=1.3,"Star",IF(X33&gt;=1,"High",IF(X33&gt;=0.8,"Meets",IF(X33&gt;=0.6,"Below","Non-Performer"))))</f>
        <v>Non-Performer</v>
      </c>
      <c r="AE33" s="26" t="n">
        <v>0</v>
      </c>
      <c r="AF33" s="20" t="n">
        <f aca="false">IF((I33+J33+K33)=0,0,IF((I33+J33+K33)&lt;=300000,0.015,IF((I33+J33+K33)&lt;=500000,0.02,0.03)))</f>
        <v>0</v>
      </c>
      <c r="AG33" s="9" t="n">
        <v>0</v>
      </c>
      <c r="AH33" s="16" t="n">
        <f aca="false">1-AG33</f>
        <v>1</v>
      </c>
      <c r="AI33" s="16" t="n">
        <f aca="false">IF(AH33&gt;=1,1,AH33)</f>
        <v>1</v>
      </c>
      <c r="AJ33" s="8" t="str">
        <f aca="false">IF(AG33=0,"DST","POSP RM")</f>
        <v>DST</v>
      </c>
    </row>
    <row r="34" customFormat="false" ht="15" hidden="false" customHeight="true" outlineLevel="0" collapsed="false">
      <c r="A34" s="20" t="n">
        <v>33</v>
      </c>
      <c r="B34" s="20" t="s">
        <v>314</v>
      </c>
      <c r="C34" s="24" t="n">
        <f aca="false">'Employee Master'!H55</f>
        <v>23980</v>
      </c>
      <c r="D34" s="24" t="n">
        <f aca="false">'Employee Master'!N55</f>
        <v>479600</v>
      </c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W34" s="44" t="n">
        <f aca="false">((IF(U34="Yes",F34*1.25,F34)+IF(U34="Yes",IF(H34="Annual",G34,IF(H34="2-Year",G34/2*1.25,IF(H34="3-Year",G34/3*1.5,IF(H34="Quarterly/HY",G34*0.5,G34))))*1.25,IF(H34="Annual",G34,IF(H34="2-Year",G34/2*1.25,IF(H34="3-Year",G34/3*1.5,IF(H34="Quarterly/HY",G34*0.5,G34)))))+(I34+J34+K34)+(L34+M34*0.2)+IF(U34="Yes",(N34-AE34)*1.25,(N34-AE34))+(O34*0.1+P34*0.075+Q34*0.05+R34*0.1)+(S34*0.3+T34*0.15)))*AI34</f>
        <v>0</v>
      </c>
      <c r="X34" s="45" t="n">
        <f aca="false">IF(D34=0,0,W34/D34)</f>
        <v>0</v>
      </c>
      <c r="Y34" s="20" t="str">
        <f aca="false">IF(X34&lt;0.8,"Below 80%",IF(X34&lt;=1,"80-100%",IF(X34&lt;=1.1,"101-110%",IF(X34&lt;=1.3,"111-130%",IF(X34&lt;=1.5,"131-150%","150%+")))))</f>
        <v>Below 80%</v>
      </c>
      <c r="Z34" s="46" t="n">
        <f aca="false">IF(AJ34="DST",IF(X34&lt;0.8,0,IF(X34&lt;=1,0.04,IF(X34&lt;=1.1,0.05,IF(X34&lt;=1.3,0.06,IF(X34&lt;=1.5,0.07,0.08))))),IF(X34&lt;0.8,0,IF(X34&lt;=1,0.012,IF(X34&lt;=1.1,0.015,IF(X34&lt;=1.3,0.018,IF(X34&lt;=1.5,0.021,0.02))))))</f>
        <v>0</v>
      </c>
      <c r="AA34" s="24" t="n">
        <f aca="false">W34*Z34</f>
        <v>0</v>
      </c>
      <c r="AB34" s="24" t="n">
        <f aca="false">C34+AA34</f>
        <v>23980</v>
      </c>
      <c r="AC34" s="20" t="str">
        <f aca="false">IF(W34&gt;='Employee Master'!P55,"YES","NO")</f>
        <v>NO</v>
      </c>
      <c r="AD34" s="20" t="str">
        <f aca="false">IF(X34&gt;=1.3,"Star",IF(X34&gt;=1,"High",IF(X34&gt;=0.8,"Meets",IF(X34&gt;=0.6,"Below","Non-Performer"))))</f>
        <v>Non-Performer</v>
      </c>
      <c r="AE34" s="26" t="n">
        <v>0</v>
      </c>
      <c r="AF34" s="20" t="n">
        <f aca="false">IF((I34+J34+K34)=0,0,IF((I34+J34+K34)&lt;=300000,0.015,IF((I34+J34+K34)&lt;=500000,0.02,0.03)))</f>
        <v>0</v>
      </c>
      <c r="AG34" s="9" t="n">
        <v>0</v>
      </c>
      <c r="AH34" s="16" t="n">
        <f aca="false">1-AG34</f>
        <v>1</v>
      </c>
      <c r="AI34" s="16" t="n">
        <f aca="false">IF(AH34&gt;=1,1,AH34)</f>
        <v>1</v>
      </c>
      <c r="AJ34" s="8" t="str">
        <f aca="false">IF(AG34=0,"DST","POSP RM")</f>
        <v>DST</v>
      </c>
    </row>
    <row r="35" customFormat="false" ht="15" hidden="false" customHeight="true" outlineLevel="0" collapsed="false">
      <c r="A35" s="20" t="n">
        <v>34</v>
      </c>
      <c r="B35" s="20" t="s">
        <v>316</v>
      </c>
      <c r="C35" s="24" t="n">
        <f aca="false">'Employee Master'!H56</f>
        <v>67008</v>
      </c>
      <c r="D35" s="24" t="n">
        <f aca="false">'Employee Master'!N56</f>
        <v>1340160</v>
      </c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W35" s="44" t="n">
        <f aca="false">((IF(U35="Yes",F35*1.25,F35)+IF(U35="Yes",IF(H35="Annual",G35,IF(H35="2-Year",G35/2*1.25,IF(H35="3-Year",G35/3*1.5,IF(H35="Quarterly/HY",G35*0.5,G35))))*1.25,IF(H35="Annual",G35,IF(H35="2-Year",G35/2*1.25,IF(H35="3-Year",G35/3*1.5,IF(H35="Quarterly/HY",G35*0.5,G35)))))+(I35+J35+K35)+(L35+M35*0.2)+IF(U35="Yes",(N35-AE35)*1.25,(N35-AE35))+(O35*0.1+P35*0.075+Q35*0.05+R35*0.1)+(S35*0.3+T35*0.15)))*AI35</f>
        <v>0</v>
      </c>
      <c r="X35" s="45" t="n">
        <f aca="false">IF(D35=0,0,W35/D35)</f>
        <v>0</v>
      </c>
      <c r="Y35" s="20" t="str">
        <f aca="false">IF(X35&lt;0.8,"Below 80%",IF(X35&lt;=1,"80-100%",IF(X35&lt;=1.1,"101-110%",IF(X35&lt;=1.3,"111-130%",IF(X35&lt;=1.5,"131-150%","150%+")))))</f>
        <v>Below 80%</v>
      </c>
      <c r="Z35" s="46" t="n">
        <f aca="false">IF(AJ35="DST",IF(X35&lt;0.8,0,IF(X35&lt;=1,0.04,IF(X35&lt;=1.1,0.05,IF(X35&lt;=1.3,0.06,IF(X35&lt;=1.5,0.07,0.08))))),IF(X35&lt;0.8,0,IF(X35&lt;=1,0.012,IF(X35&lt;=1.1,0.015,IF(X35&lt;=1.3,0.018,IF(X35&lt;=1.5,0.021,0.02))))))</f>
        <v>0</v>
      </c>
      <c r="AA35" s="24" t="n">
        <f aca="false">W35*Z35</f>
        <v>0</v>
      </c>
      <c r="AB35" s="24" t="n">
        <f aca="false">C35+AA35</f>
        <v>67008</v>
      </c>
      <c r="AC35" s="20" t="str">
        <f aca="false">IF(W35&gt;='Employee Master'!P56,"YES","NO")</f>
        <v>NO</v>
      </c>
      <c r="AD35" s="20" t="str">
        <f aca="false">IF(X35&gt;=1.3,"Star",IF(X35&gt;=1,"High",IF(X35&gt;=0.8,"Meets",IF(X35&gt;=0.6,"Below","Non-Performer"))))</f>
        <v>Non-Performer</v>
      </c>
      <c r="AE35" s="26" t="n">
        <v>0</v>
      </c>
      <c r="AF35" s="20" t="n">
        <f aca="false">IF((I35+J35+K35)=0,0,IF((I35+J35+K35)&lt;=300000,0.015,IF((I35+J35+K35)&lt;=500000,0.02,0.03)))</f>
        <v>0</v>
      </c>
      <c r="AG35" s="9" t="n">
        <v>0</v>
      </c>
      <c r="AH35" s="16" t="n">
        <f aca="false">1-AG35</f>
        <v>1</v>
      </c>
      <c r="AI35" s="16" t="n">
        <f aca="false">IF(AH35&gt;=1,1,AH35)</f>
        <v>1</v>
      </c>
      <c r="AJ35" s="8" t="str">
        <f aca="false">IF(AG35=0,"DST","POSP RM")</f>
        <v>DST</v>
      </c>
    </row>
    <row r="36" customFormat="false" ht="15" hidden="false" customHeight="true" outlineLevel="0" collapsed="false">
      <c r="A36" s="20" t="n">
        <v>35</v>
      </c>
      <c r="B36" s="20" t="s">
        <v>318</v>
      </c>
      <c r="C36" s="24" t="n">
        <f aca="false">'Employee Master'!H57</f>
        <v>67008</v>
      </c>
      <c r="D36" s="24" t="n">
        <f aca="false">'Employee Master'!N57</f>
        <v>1340160</v>
      </c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W36" s="44" t="n">
        <f aca="false">((IF(U36="Yes",F36*1.25,F36)+IF(U36="Yes",IF(H36="Annual",G36,IF(H36="2-Year",G36/2*1.25,IF(H36="3-Year",G36/3*1.5,IF(H36="Quarterly/HY",G36*0.5,G36))))*1.25,IF(H36="Annual",G36,IF(H36="2-Year",G36/2*1.25,IF(H36="3-Year",G36/3*1.5,IF(H36="Quarterly/HY",G36*0.5,G36)))))+(I36+J36+K36)+(L36+M36*0.2)+IF(U36="Yes",(N36-AE36)*1.25,(N36-AE36))+(O36*0.1+P36*0.075+Q36*0.05+R36*0.1)+(S36*0.3+T36*0.15)))*AI36</f>
        <v>0</v>
      </c>
      <c r="X36" s="45" t="n">
        <f aca="false">IF(D36=0,0,W36/D36)</f>
        <v>0</v>
      </c>
      <c r="Y36" s="20" t="str">
        <f aca="false">IF(X36&lt;0.8,"Below 80%",IF(X36&lt;=1,"80-100%",IF(X36&lt;=1.1,"101-110%",IF(X36&lt;=1.3,"111-130%",IF(X36&lt;=1.5,"131-150%","150%+")))))</f>
        <v>Below 80%</v>
      </c>
      <c r="Z36" s="46" t="n">
        <f aca="false">IF(AJ36="DST",IF(X36&lt;0.8,0,IF(X36&lt;=1,0.04,IF(X36&lt;=1.1,0.05,IF(X36&lt;=1.3,0.06,IF(X36&lt;=1.5,0.07,0.08))))),IF(X36&lt;0.8,0,IF(X36&lt;=1,0.012,IF(X36&lt;=1.1,0.015,IF(X36&lt;=1.3,0.018,IF(X36&lt;=1.5,0.021,0.02))))))</f>
        <v>0</v>
      </c>
      <c r="AA36" s="24" t="n">
        <f aca="false">W36*Z36</f>
        <v>0</v>
      </c>
      <c r="AB36" s="24" t="n">
        <f aca="false">C36+AA36</f>
        <v>67008</v>
      </c>
      <c r="AC36" s="20" t="str">
        <f aca="false">IF(W36&gt;='Employee Master'!P57,"YES","NO")</f>
        <v>NO</v>
      </c>
      <c r="AD36" s="20" t="str">
        <f aca="false">IF(X36&gt;=1.3,"Star",IF(X36&gt;=1,"High",IF(X36&gt;=0.8,"Meets",IF(X36&gt;=0.6,"Below","Non-Performer"))))</f>
        <v>Non-Performer</v>
      </c>
      <c r="AE36" s="26" t="n">
        <v>0</v>
      </c>
      <c r="AF36" s="20" t="n">
        <f aca="false">IF((I36+J36+K36)=0,0,IF((I36+J36+K36)&lt;=300000,0.015,IF((I36+J36+K36)&lt;=500000,0.02,0.03)))</f>
        <v>0</v>
      </c>
      <c r="AG36" s="9" t="n">
        <v>0</v>
      </c>
      <c r="AH36" s="16" t="n">
        <f aca="false">1-AG36</f>
        <v>1</v>
      </c>
      <c r="AI36" s="16" t="n">
        <f aca="false">IF(AH36&gt;=1,1,AH36)</f>
        <v>1</v>
      </c>
      <c r="AJ36" s="8" t="str">
        <f aca="false">IF(AG36=0,"DST","POSP RM")</f>
        <v>DST</v>
      </c>
    </row>
    <row r="37" customFormat="false" ht="15" hidden="false" customHeight="true" outlineLevel="0" collapsed="false">
      <c r="A37" s="20" t="n">
        <v>36</v>
      </c>
      <c r="B37" s="20" t="s">
        <v>320</v>
      </c>
      <c r="C37" s="24" t="n">
        <f aca="false">'Employee Master'!H58</f>
        <v>22429</v>
      </c>
      <c r="D37" s="24" t="n">
        <f aca="false">'Employee Master'!N58</f>
        <v>448580</v>
      </c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W37" s="44" t="n">
        <f aca="false">((IF(U37="Yes",F37*1.25,F37)+IF(U37="Yes",IF(H37="Annual",G37,IF(H37="2-Year",G37/2*1.25,IF(H37="3-Year",G37/3*1.5,IF(H37="Quarterly/HY",G37*0.5,G37))))*1.25,IF(H37="Annual",G37,IF(H37="2-Year",G37/2*1.25,IF(H37="3-Year",G37/3*1.5,IF(H37="Quarterly/HY",G37*0.5,G37)))))+(I37+J37+K37)+(L37+M37*0.2)+IF(U37="Yes",(N37-AE37)*1.25,(N37-AE37))+(O37*0.1+P37*0.075+Q37*0.05+R37*0.1)+(S37*0.3+T37*0.15)))*AI37</f>
        <v>0</v>
      </c>
      <c r="X37" s="45" t="n">
        <f aca="false">IF(D37=0,0,W37/D37)</f>
        <v>0</v>
      </c>
      <c r="Y37" s="20" t="str">
        <f aca="false">IF(X37&lt;0.8,"Below 80%",IF(X37&lt;=1,"80-100%",IF(X37&lt;=1.1,"101-110%",IF(X37&lt;=1.3,"111-130%",IF(X37&lt;=1.5,"131-150%","150%+")))))</f>
        <v>Below 80%</v>
      </c>
      <c r="Z37" s="46" t="n">
        <f aca="false">IF(AJ37="DST",IF(X37&lt;0.8,0,IF(X37&lt;=1,0.04,IF(X37&lt;=1.1,0.05,IF(X37&lt;=1.3,0.06,IF(X37&lt;=1.5,0.07,0.08))))),IF(X37&lt;0.8,0,IF(X37&lt;=1,0.012,IF(X37&lt;=1.1,0.015,IF(X37&lt;=1.3,0.018,IF(X37&lt;=1.5,0.021,0.02))))))</f>
        <v>0</v>
      </c>
      <c r="AA37" s="24" t="n">
        <f aca="false">W37*Z37</f>
        <v>0</v>
      </c>
      <c r="AB37" s="24" t="n">
        <f aca="false">C37+AA37</f>
        <v>22429</v>
      </c>
      <c r="AC37" s="20" t="str">
        <f aca="false">IF(W37&gt;='Employee Master'!P58,"YES","NO")</f>
        <v>NO</v>
      </c>
      <c r="AD37" s="20" t="str">
        <f aca="false">IF(X37&gt;=1.3,"Star",IF(X37&gt;=1,"High",IF(X37&gt;=0.8,"Meets",IF(X37&gt;=0.6,"Below","Non-Performer"))))</f>
        <v>Non-Performer</v>
      </c>
      <c r="AE37" s="26" t="n">
        <v>0</v>
      </c>
      <c r="AF37" s="20" t="n">
        <f aca="false">IF((I37+J37+K37)=0,0,IF((I37+J37+K37)&lt;=300000,0.015,IF((I37+J37+K37)&lt;=500000,0.02,0.03)))</f>
        <v>0</v>
      </c>
      <c r="AG37" s="9" t="n">
        <v>0</v>
      </c>
      <c r="AH37" s="16" t="n">
        <f aca="false">1-AG37</f>
        <v>1</v>
      </c>
      <c r="AI37" s="16" t="n">
        <f aca="false">IF(AH37&gt;=1,1,AH37)</f>
        <v>1</v>
      </c>
      <c r="AJ37" s="8" t="str">
        <f aca="false">IF(AG37=0,"DST","POSP RM")</f>
        <v>DST</v>
      </c>
    </row>
    <row r="38" customFormat="false" ht="15" hidden="false" customHeight="true" outlineLevel="0" collapsed="false">
      <c r="A38" s="20" t="n">
        <v>37</v>
      </c>
      <c r="B38" s="20" t="s">
        <v>322</v>
      </c>
      <c r="C38" s="24" t="n">
        <f aca="false">'Employee Master'!H58</f>
        <v>22429</v>
      </c>
      <c r="D38" s="24" t="n">
        <f aca="false">'Employee Master'!N58</f>
        <v>448580</v>
      </c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W38" s="24" t="n">
        <v>0</v>
      </c>
      <c r="X38" s="45" t="n">
        <f aca="false">W38/D38</f>
        <v>0</v>
      </c>
      <c r="Y38" s="20" t="str">
        <f aca="false">IF(X38&lt;0.8,"Below 80%",IF(X38&lt;=1,"80-100%",IF(X38&lt;=1.1,"101-110%",IF(X38&lt;=1.3,"111-130%",IF(X38&lt;=1.5,"131-150%","150%+")))))</f>
        <v>Below 80%</v>
      </c>
      <c r="Z38" s="46" t="n">
        <f aca="false">IF(AJ38="DST",IF(X38&lt;0.8,0,IF(X38&lt;=1,0.04,IF(X38&lt;=1.1,0.05,IF(X38&lt;=1.3,0.06,IF(X38&lt;=1.5,0.07,0.08))))),IF(X38&lt;0.8,0,IF(X38&lt;=1,0.012,IF(X38&lt;=1.1,0.015,IF(X38&lt;=1.3,0.018,IF(X38&lt;=1.5,0.021,0.02))))))</f>
        <v>0</v>
      </c>
      <c r="AA38" s="24" t="n">
        <f aca="false">W38*Z38</f>
        <v>0</v>
      </c>
      <c r="AB38" s="24" t="n">
        <f aca="false">C38+AA38</f>
        <v>22429</v>
      </c>
      <c r="AC38" s="20" t="str">
        <f aca="false">IF(W38&gt;='Employee Master'!P58,"YES","NO")</f>
        <v>NO</v>
      </c>
      <c r="AD38" s="20" t="str">
        <f aca="false">IF(X38&gt;=1.3,"Star",IF(X38&gt;=1,"High",IF(X38&gt;=0.8,"Meets",IF(X38&gt;=0.6,"Below","Non-Performer"))))</f>
        <v>Non-Performer</v>
      </c>
      <c r="AG38" s="9" t="n">
        <v>0</v>
      </c>
      <c r="AH38" s="16" t="n">
        <f aca="false">1-AG38</f>
        <v>1</v>
      </c>
      <c r="AI38" s="16" t="n">
        <f aca="false">IF(AH38&gt;=1,1,AH38)</f>
        <v>1</v>
      </c>
      <c r="AJ38" s="8" t="str">
        <f aca="false">IF(AG38=0,"DST","POSP RM")</f>
        <v>DST</v>
      </c>
    </row>
  </sheetData>
  <dataValidations count="111">
    <dataValidation allowBlank="true" error="Please select from list" errorStyle="stop" errorTitle="Invalid Entry" operator="between" showDropDown="false" showErrorMessage="false" showInputMessage="false" sqref="E2" type="list">
      <formula1>"Apr'26,May'26,Jun'26,Jul'26,Aug'26,Sep'26,Oct'26,Nov'26,Dec'26,Jan'27,Feb'27,Mar'27"</formula1>
      <formula2>0</formula2>
    </dataValidation>
    <dataValidation allowBlank="true" error="Please select from list" errorStyle="stop" errorTitle="Invalid Entry" operator="between" showDropDown="false" showErrorMessage="false" showInputMessage="false" sqref="H2" type="list">
      <formula1>"Annual,2-Year,3-Year,Quarterly/HY"</formula1>
      <formula2>0</formula2>
    </dataValidation>
    <dataValidation allowBlank="true" error="Please select from list" errorStyle="stop" errorTitle="Invalid Entry" operator="between" showDropDown="false" showErrorMessage="false" showInputMessage="false" sqref="U2" type="list">
      <formula1>"Yes,No"</formula1>
      <formula2>0</formula2>
    </dataValidation>
    <dataValidation allowBlank="true" error="Please select from list" errorStyle="stop" errorTitle="Invalid Entry" operator="between" showDropDown="false" showErrorMessage="false" showInputMessage="false" sqref="E3" type="list">
      <formula1>"Apr'26,May'26,Jun'26,Jul'26,Aug'26,Sep'26,Oct'26,Nov'26,Dec'26,Jan'27,Feb'27,Mar'27"</formula1>
      <formula2>0</formula2>
    </dataValidation>
    <dataValidation allowBlank="true" error="Please select from list" errorStyle="stop" errorTitle="Invalid Entry" operator="between" showDropDown="false" showErrorMessage="false" showInputMessage="false" sqref="H3" type="list">
      <formula1>"Annual,2-Year,3-Year,Quarterly/HY"</formula1>
      <formula2>0</formula2>
    </dataValidation>
    <dataValidation allowBlank="true" error="Please select from list" errorStyle="stop" errorTitle="Invalid Entry" operator="between" showDropDown="false" showErrorMessage="false" showInputMessage="false" sqref="U3" type="list">
      <formula1>"Yes,No"</formula1>
      <formula2>0</formula2>
    </dataValidation>
    <dataValidation allowBlank="true" error="Please select from list" errorStyle="stop" errorTitle="Invalid Entry" operator="between" showDropDown="false" showErrorMessage="false" showInputMessage="false" sqref="E4" type="list">
      <formula1>"Apr'26,May'26,Jun'26,Jul'26,Aug'26,Sep'26,Oct'26,Nov'26,Dec'26,Jan'27,Feb'27,Mar'27"</formula1>
      <formula2>0</formula2>
    </dataValidation>
    <dataValidation allowBlank="true" error="Please select from list" errorStyle="stop" errorTitle="Invalid Entry" operator="between" showDropDown="false" showErrorMessage="false" showInputMessage="false" sqref="H4" type="list">
      <formula1>"Annual,2-Year,3-Year,Quarterly/HY"</formula1>
      <formula2>0</formula2>
    </dataValidation>
    <dataValidation allowBlank="true" error="Please select from list" errorStyle="stop" errorTitle="Invalid Entry" operator="between" showDropDown="false" showErrorMessage="false" showInputMessage="false" sqref="U4" type="list">
      <formula1>"Yes,No"</formula1>
      <formula2>0</formula2>
    </dataValidation>
    <dataValidation allowBlank="true" error="Please select from list" errorStyle="stop" errorTitle="Invalid Entry" operator="between" showDropDown="false" showErrorMessage="false" showInputMessage="false" sqref="E5" type="list">
      <formula1>"Apr'26,May'26,Jun'26,Jul'26,Aug'26,Sep'26,Oct'26,Nov'26,Dec'26,Jan'27,Feb'27,Mar'27"</formula1>
      <formula2>0</formula2>
    </dataValidation>
    <dataValidation allowBlank="true" error="Please select from list" errorStyle="stop" errorTitle="Invalid Entry" operator="between" showDropDown="false" showErrorMessage="false" showInputMessage="false" sqref="H5" type="list">
      <formula1>"Annual,2-Year,3-Year,Quarterly/HY"</formula1>
      <formula2>0</formula2>
    </dataValidation>
    <dataValidation allowBlank="true" error="Please select from list" errorStyle="stop" errorTitle="Invalid Entry" operator="between" showDropDown="false" showErrorMessage="false" showInputMessage="false" sqref="U5" type="list">
      <formula1>"Yes,No"</formula1>
      <formula2>0</formula2>
    </dataValidation>
    <dataValidation allowBlank="true" error="Please select from list" errorStyle="stop" errorTitle="Invalid Entry" operator="between" showDropDown="false" showErrorMessage="false" showInputMessage="false" sqref="E6" type="list">
      <formula1>"Apr'26,May'26,Jun'26,Jul'26,Aug'26,Sep'26,Oct'26,Nov'26,Dec'26,Jan'27,Feb'27,Mar'27"</formula1>
      <formula2>0</formula2>
    </dataValidation>
    <dataValidation allowBlank="true" error="Please select from list" errorStyle="stop" errorTitle="Invalid Entry" operator="between" showDropDown="false" showErrorMessage="false" showInputMessage="false" sqref="H6" type="list">
      <formula1>"Annual,2-Year,3-Year,Quarterly/HY"</formula1>
      <formula2>0</formula2>
    </dataValidation>
    <dataValidation allowBlank="true" error="Please select from list" errorStyle="stop" errorTitle="Invalid Entry" operator="between" showDropDown="false" showErrorMessage="false" showInputMessage="false" sqref="U6" type="list">
      <formula1>"Yes,No"</formula1>
      <formula2>0</formula2>
    </dataValidation>
    <dataValidation allowBlank="true" error="Please select from list" errorStyle="stop" errorTitle="Invalid Entry" operator="between" showDropDown="false" showErrorMessage="false" showInputMessage="false" sqref="E7" type="list">
      <formula1>"Apr'26,May'26,Jun'26,Jul'26,Aug'26,Sep'26,Oct'26,Nov'26,Dec'26,Jan'27,Feb'27,Mar'27"</formula1>
      <formula2>0</formula2>
    </dataValidation>
    <dataValidation allowBlank="true" error="Please select from list" errorStyle="stop" errorTitle="Invalid Entry" operator="between" showDropDown="false" showErrorMessage="false" showInputMessage="false" sqref="H7" type="list">
      <formula1>"Annual,2-Year,3-Year,Quarterly/HY"</formula1>
      <formula2>0</formula2>
    </dataValidation>
    <dataValidation allowBlank="true" error="Please select from list" errorStyle="stop" errorTitle="Invalid Entry" operator="between" showDropDown="false" showErrorMessage="false" showInputMessage="false" sqref="U7" type="list">
      <formula1>"Yes,No"</formula1>
      <formula2>0</formula2>
    </dataValidation>
    <dataValidation allowBlank="true" error="Please select from list" errorStyle="stop" errorTitle="Invalid Entry" operator="between" showDropDown="false" showErrorMessage="false" showInputMessage="false" sqref="E8" type="list">
      <formula1>"Apr'26,May'26,Jun'26,Jul'26,Aug'26,Sep'26,Oct'26,Nov'26,Dec'26,Jan'27,Feb'27,Mar'27"</formula1>
      <formula2>0</formula2>
    </dataValidation>
    <dataValidation allowBlank="true" error="Please select from list" errorStyle="stop" errorTitle="Invalid Entry" operator="between" showDropDown="false" showErrorMessage="false" showInputMessage="false" sqref="H8" type="list">
      <formula1>"Annual,2-Year,3-Year,Quarterly/HY"</formula1>
      <formula2>0</formula2>
    </dataValidation>
    <dataValidation allowBlank="true" error="Please select from list" errorStyle="stop" errorTitle="Invalid Entry" operator="between" showDropDown="false" showErrorMessage="false" showInputMessage="false" sqref="U8" type="list">
      <formula1>"Yes,No"</formula1>
      <formula2>0</formula2>
    </dataValidation>
    <dataValidation allowBlank="true" error="Please select from list" errorStyle="stop" errorTitle="Invalid Entry" operator="between" showDropDown="false" showErrorMessage="false" showInputMessage="false" sqref="E9" type="list">
      <formula1>"Apr'26,May'26,Jun'26,Jul'26,Aug'26,Sep'26,Oct'26,Nov'26,Dec'26,Jan'27,Feb'27,Mar'27"</formula1>
      <formula2>0</formula2>
    </dataValidation>
    <dataValidation allowBlank="true" error="Please select from list" errorStyle="stop" errorTitle="Invalid Entry" operator="between" showDropDown="false" showErrorMessage="false" showInputMessage="false" sqref="H9" type="list">
      <formula1>"Annual,2-Year,3-Year,Quarterly/HY"</formula1>
      <formula2>0</formula2>
    </dataValidation>
    <dataValidation allowBlank="true" error="Please select from list" errorStyle="stop" errorTitle="Invalid Entry" operator="between" showDropDown="false" showErrorMessage="false" showInputMessage="false" sqref="U9" type="list">
      <formula1>"Yes,No"</formula1>
      <formula2>0</formula2>
    </dataValidation>
    <dataValidation allowBlank="true" error="Please select from list" errorStyle="stop" errorTitle="Invalid Entry" operator="between" showDropDown="false" showErrorMessage="false" showInputMessage="false" sqref="E10" type="list">
      <formula1>"Apr'26,May'26,Jun'26,Jul'26,Aug'26,Sep'26,Oct'26,Nov'26,Dec'26,Jan'27,Feb'27,Mar'27"</formula1>
      <formula2>0</formula2>
    </dataValidation>
    <dataValidation allowBlank="true" error="Please select from list" errorStyle="stop" errorTitle="Invalid Entry" operator="between" showDropDown="false" showErrorMessage="false" showInputMessage="false" sqref="H10" type="list">
      <formula1>"Annual,2-Year,3-Year,Quarterly/HY"</formula1>
      <formula2>0</formula2>
    </dataValidation>
    <dataValidation allowBlank="true" error="Please select from list" errorStyle="stop" errorTitle="Invalid Entry" operator="between" showDropDown="false" showErrorMessage="false" showInputMessage="false" sqref="U10" type="list">
      <formula1>"Yes,No"</formula1>
      <formula2>0</formula2>
    </dataValidation>
    <dataValidation allowBlank="true" error="Please select from list" errorStyle="stop" errorTitle="Invalid Entry" operator="between" showDropDown="false" showErrorMessage="false" showInputMessage="false" sqref="E11" type="list">
      <formula1>"Apr'26,May'26,Jun'26,Jul'26,Aug'26,Sep'26,Oct'26,Nov'26,Dec'26,Jan'27,Feb'27,Mar'27"</formula1>
      <formula2>0</formula2>
    </dataValidation>
    <dataValidation allowBlank="true" error="Please select from list" errorStyle="stop" errorTitle="Invalid Entry" operator="between" showDropDown="false" showErrorMessage="false" showInputMessage="false" sqref="H11" type="list">
      <formula1>"Annual,2-Year,3-Year,Quarterly/HY"</formula1>
      <formula2>0</formula2>
    </dataValidation>
    <dataValidation allowBlank="true" error="Please select from list" errorStyle="stop" errorTitle="Invalid Entry" operator="between" showDropDown="false" showErrorMessage="false" showInputMessage="false" sqref="U11" type="list">
      <formula1>"Yes,No"</formula1>
      <formula2>0</formula2>
    </dataValidation>
    <dataValidation allowBlank="true" error="Please select from list" errorStyle="stop" errorTitle="Invalid Entry" operator="between" showDropDown="false" showErrorMessage="false" showInputMessage="false" sqref="E12" type="list">
      <formula1>"Apr'26,May'26,Jun'26,Jul'26,Aug'26,Sep'26,Oct'26,Nov'26,Dec'26,Jan'27,Feb'27,Mar'27"</formula1>
      <formula2>0</formula2>
    </dataValidation>
    <dataValidation allowBlank="true" error="Please select from list" errorStyle="stop" errorTitle="Invalid Entry" operator="between" showDropDown="false" showErrorMessage="false" showInputMessage="false" sqref="H12" type="list">
      <formula1>"Annual,2-Year,3-Year,Quarterly/HY"</formula1>
      <formula2>0</formula2>
    </dataValidation>
    <dataValidation allowBlank="true" error="Please select from list" errorStyle="stop" errorTitle="Invalid Entry" operator="between" showDropDown="false" showErrorMessage="false" showInputMessage="false" sqref="U12" type="list">
      <formula1>"Yes,No"</formula1>
      <formula2>0</formula2>
    </dataValidation>
    <dataValidation allowBlank="true" error="Please select from list" errorStyle="stop" errorTitle="Invalid Entry" operator="between" showDropDown="false" showErrorMessage="false" showInputMessage="false" sqref="E13" type="list">
      <formula1>"Apr'26,May'26,Jun'26,Jul'26,Aug'26,Sep'26,Oct'26,Nov'26,Dec'26,Jan'27,Feb'27,Mar'27"</formula1>
      <formula2>0</formula2>
    </dataValidation>
    <dataValidation allowBlank="true" error="Please select from list" errorStyle="stop" errorTitle="Invalid Entry" operator="between" showDropDown="false" showErrorMessage="false" showInputMessage="false" sqref="H13" type="list">
      <formula1>"Annual,2-Year,3-Year,Quarterly/HY"</formula1>
      <formula2>0</formula2>
    </dataValidation>
    <dataValidation allowBlank="true" error="Please select from list" errorStyle="stop" errorTitle="Invalid Entry" operator="between" showDropDown="false" showErrorMessage="false" showInputMessage="false" sqref="U13" type="list">
      <formula1>"Yes,No"</formula1>
      <formula2>0</formula2>
    </dataValidation>
    <dataValidation allowBlank="true" error="Please select from list" errorStyle="stop" errorTitle="Invalid Entry" operator="between" showDropDown="false" showErrorMessage="false" showInputMessage="false" sqref="E14" type="list">
      <formula1>"Apr'26,May'26,Jun'26,Jul'26,Aug'26,Sep'26,Oct'26,Nov'26,Dec'26,Jan'27,Feb'27,Mar'27"</formula1>
      <formula2>0</formula2>
    </dataValidation>
    <dataValidation allowBlank="true" error="Please select from list" errorStyle="stop" errorTitle="Invalid Entry" operator="between" showDropDown="false" showErrorMessage="false" showInputMessage="false" sqref="H14" type="list">
      <formula1>"Annual,2-Year,3-Year,Quarterly/HY"</formula1>
      <formula2>0</formula2>
    </dataValidation>
    <dataValidation allowBlank="true" error="Please select from list" errorStyle="stop" errorTitle="Invalid Entry" operator="between" showDropDown="false" showErrorMessage="false" showInputMessage="false" sqref="U14" type="list">
      <formula1>"Yes,No"</formula1>
      <formula2>0</formula2>
    </dataValidation>
    <dataValidation allowBlank="true" error="Please select from list" errorStyle="stop" errorTitle="Invalid Entry" operator="between" showDropDown="false" showErrorMessage="false" showInputMessage="false" sqref="E15" type="list">
      <formula1>"Apr'26,May'26,Jun'26,Jul'26,Aug'26,Sep'26,Oct'26,Nov'26,Dec'26,Jan'27,Feb'27,Mar'27"</formula1>
      <formula2>0</formula2>
    </dataValidation>
    <dataValidation allowBlank="true" error="Please select from list" errorStyle="stop" errorTitle="Invalid Entry" operator="between" showDropDown="false" showErrorMessage="false" showInputMessage="false" sqref="H15" type="list">
      <formula1>"Annual,2-Year,3-Year,Quarterly/HY"</formula1>
      <formula2>0</formula2>
    </dataValidation>
    <dataValidation allowBlank="true" error="Please select from list" errorStyle="stop" errorTitle="Invalid Entry" operator="between" showDropDown="false" showErrorMessage="false" showInputMessage="false" sqref="U15" type="list">
      <formula1>"Yes,No"</formula1>
      <formula2>0</formula2>
    </dataValidation>
    <dataValidation allowBlank="true" error="Please select from list" errorStyle="stop" errorTitle="Invalid Entry" operator="between" showDropDown="false" showErrorMessage="false" showInputMessage="false" sqref="E16" type="list">
      <formula1>"Apr'26,May'26,Jun'26,Jul'26,Aug'26,Sep'26,Oct'26,Nov'26,Dec'26,Jan'27,Feb'27,Mar'27"</formula1>
      <formula2>0</formula2>
    </dataValidation>
    <dataValidation allowBlank="true" error="Please select from list" errorStyle="stop" errorTitle="Invalid Entry" operator="between" showDropDown="false" showErrorMessage="false" showInputMessage="false" sqref="H16" type="list">
      <formula1>"Annual,2-Year,3-Year,Quarterly/HY"</formula1>
      <formula2>0</formula2>
    </dataValidation>
    <dataValidation allowBlank="true" error="Please select from list" errorStyle="stop" errorTitle="Invalid Entry" operator="between" showDropDown="false" showErrorMessage="false" showInputMessage="false" sqref="U16" type="list">
      <formula1>"Yes,No"</formula1>
      <formula2>0</formula2>
    </dataValidation>
    <dataValidation allowBlank="true" error="Please select from list" errorStyle="stop" errorTitle="Invalid Entry" operator="between" showDropDown="false" showErrorMessage="false" showInputMessage="false" sqref="E17" type="list">
      <formula1>"Apr'26,May'26,Jun'26,Jul'26,Aug'26,Sep'26,Oct'26,Nov'26,Dec'26,Jan'27,Feb'27,Mar'27"</formula1>
      <formula2>0</formula2>
    </dataValidation>
    <dataValidation allowBlank="true" error="Please select from list" errorStyle="stop" errorTitle="Invalid Entry" operator="between" showDropDown="false" showErrorMessage="false" showInputMessage="false" sqref="H17" type="list">
      <formula1>"Annual,2-Year,3-Year,Quarterly/HY"</formula1>
      <formula2>0</formula2>
    </dataValidation>
    <dataValidation allowBlank="true" error="Please select from list" errorStyle="stop" errorTitle="Invalid Entry" operator="between" showDropDown="false" showErrorMessage="false" showInputMessage="false" sqref="U17" type="list">
      <formula1>"Yes,No"</formula1>
      <formula2>0</formula2>
    </dataValidation>
    <dataValidation allowBlank="true" error="Please select from list" errorStyle="stop" errorTitle="Invalid Entry" operator="between" showDropDown="false" showErrorMessage="false" showInputMessage="false" sqref="E18" type="list">
      <formula1>"Apr'26,May'26,Jun'26,Jul'26,Aug'26,Sep'26,Oct'26,Nov'26,Dec'26,Jan'27,Feb'27,Mar'27"</formula1>
      <formula2>0</formula2>
    </dataValidation>
    <dataValidation allowBlank="true" error="Please select from list" errorStyle="stop" errorTitle="Invalid Entry" operator="between" showDropDown="false" showErrorMessage="false" showInputMessage="false" sqref="H18" type="list">
      <formula1>"Annual,2-Year,3-Year,Quarterly/HY"</formula1>
      <formula2>0</formula2>
    </dataValidation>
    <dataValidation allowBlank="true" error="Please select from list" errorStyle="stop" errorTitle="Invalid Entry" operator="between" showDropDown="false" showErrorMessage="false" showInputMessage="false" sqref="U18" type="list">
      <formula1>"Yes,No"</formula1>
      <formula2>0</formula2>
    </dataValidation>
    <dataValidation allowBlank="true" error="Please select from list" errorStyle="stop" errorTitle="Invalid Entry" operator="between" showDropDown="false" showErrorMessage="false" showInputMessage="false" sqref="E19" type="list">
      <formula1>"Apr'26,May'26,Jun'26,Jul'26,Aug'26,Sep'26,Oct'26,Nov'26,Dec'26,Jan'27,Feb'27,Mar'27"</formula1>
      <formula2>0</formula2>
    </dataValidation>
    <dataValidation allowBlank="true" error="Please select from list" errorStyle="stop" errorTitle="Invalid Entry" operator="between" showDropDown="false" showErrorMessage="false" showInputMessage="false" sqref="H19" type="list">
      <formula1>"Annual,2-Year,3-Year,Quarterly/HY"</formula1>
      <formula2>0</formula2>
    </dataValidation>
    <dataValidation allowBlank="true" error="Please select from list" errorStyle="stop" errorTitle="Invalid Entry" operator="between" showDropDown="false" showErrorMessage="false" showInputMessage="false" sqref="U19" type="list">
      <formula1>"Yes,No"</formula1>
      <formula2>0</formula2>
    </dataValidation>
    <dataValidation allowBlank="true" error="Please select from list" errorStyle="stop" errorTitle="Invalid Entry" operator="between" showDropDown="false" showErrorMessage="false" showInputMessage="false" sqref="E20" type="list">
      <formula1>"Apr'26,May'26,Jun'26,Jul'26,Aug'26,Sep'26,Oct'26,Nov'26,Dec'26,Jan'27,Feb'27,Mar'27"</formula1>
      <formula2>0</formula2>
    </dataValidation>
    <dataValidation allowBlank="true" error="Please select from list" errorStyle="stop" errorTitle="Invalid Entry" operator="between" showDropDown="false" showErrorMessage="false" showInputMessage="false" sqref="H20" type="list">
      <formula1>"Annual,2-Year,3-Year,Quarterly/HY"</formula1>
      <formula2>0</formula2>
    </dataValidation>
    <dataValidation allowBlank="true" error="Please select from list" errorStyle="stop" errorTitle="Invalid Entry" operator="between" showDropDown="false" showErrorMessage="false" showInputMessage="false" sqref="U20" type="list">
      <formula1>"Yes,No"</formula1>
      <formula2>0</formula2>
    </dataValidation>
    <dataValidation allowBlank="true" error="Please select from list" errorStyle="stop" errorTitle="Invalid Entry" operator="between" showDropDown="false" showErrorMessage="false" showInputMessage="false" sqref="E21" type="list">
      <formula1>"Apr'26,May'26,Jun'26,Jul'26,Aug'26,Sep'26,Oct'26,Nov'26,Dec'26,Jan'27,Feb'27,Mar'27"</formula1>
      <formula2>0</formula2>
    </dataValidation>
    <dataValidation allowBlank="true" error="Please select from list" errorStyle="stop" errorTitle="Invalid Entry" operator="between" showDropDown="false" showErrorMessage="false" showInputMessage="false" sqref="H21" type="list">
      <formula1>"Annual,2-Year,3-Year,Quarterly/HY"</formula1>
      <formula2>0</formula2>
    </dataValidation>
    <dataValidation allowBlank="true" error="Please select from list" errorStyle="stop" errorTitle="Invalid Entry" operator="between" showDropDown="false" showErrorMessage="false" showInputMessage="false" sqref="U21" type="list">
      <formula1>"Yes,No"</formula1>
      <formula2>0</formula2>
    </dataValidation>
    <dataValidation allowBlank="true" error="Please select from list" errorStyle="stop" errorTitle="Invalid Entry" operator="between" showDropDown="false" showErrorMessage="false" showInputMessage="false" sqref="E22" type="list">
      <formula1>"Apr'26,May'26,Jun'26,Jul'26,Aug'26,Sep'26,Oct'26,Nov'26,Dec'26,Jan'27,Feb'27,Mar'27"</formula1>
      <formula2>0</formula2>
    </dataValidation>
    <dataValidation allowBlank="true" error="Please select from list" errorStyle="stop" errorTitle="Invalid Entry" operator="between" showDropDown="false" showErrorMessage="false" showInputMessage="false" sqref="H22" type="list">
      <formula1>"Annual,2-Year,3-Year,Quarterly/HY"</formula1>
      <formula2>0</formula2>
    </dataValidation>
    <dataValidation allowBlank="true" error="Please select from list" errorStyle="stop" errorTitle="Invalid Entry" operator="between" showDropDown="false" showErrorMessage="false" showInputMessage="false" sqref="U22" type="list">
      <formula1>"Yes,No"</formula1>
      <formula2>0</formula2>
    </dataValidation>
    <dataValidation allowBlank="true" error="Please select from list" errorStyle="stop" errorTitle="Invalid Entry" operator="between" showDropDown="false" showErrorMessage="false" showInputMessage="false" sqref="E23" type="list">
      <formula1>"Apr'26,May'26,Jun'26,Jul'26,Aug'26,Sep'26,Oct'26,Nov'26,Dec'26,Jan'27,Feb'27,Mar'27"</formula1>
      <formula2>0</formula2>
    </dataValidation>
    <dataValidation allowBlank="true" error="Please select from list" errorStyle="stop" errorTitle="Invalid Entry" operator="between" showDropDown="false" showErrorMessage="false" showInputMessage="false" sqref="H23" type="list">
      <formula1>"Annual,2-Year,3-Year,Quarterly/HY"</formula1>
      <formula2>0</formula2>
    </dataValidation>
    <dataValidation allowBlank="true" error="Please select from list" errorStyle="stop" errorTitle="Invalid Entry" operator="between" showDropDown="false" showErrorMessage="false" showInputMessage="false" sqref="U23" type="list">
      <formula1>"Yes,No"</formula1>
      <formula2>0</formula2>
    </dataValidation>
    <dataValidation allowBlank="true" error="Please select from list" errorStyle="stop" errorTitle="Invalid Entry" operator="between" showDropDown="false" showErrorMessage="false" showInputMessage="false" sqref="E24" type="list">
      <formula1>"Apr'26,May'26,Jun'26,Jul'26,Aug'26,Sep'26,Oct'26,Nov'26,Dec'26,Jan'27,Feb'27,Mar'27"</formula1>
      <formula2>0</formula2>
    </dataValidation>
    <dataValidation allowBlank="true" error="Please select from list" errorStyle="stop" errorTitle="Invalid Entry" operator="between" showDropDown="false" showErrorMessage="false" showInputMessage="false" sqref="H24" type="list">
      <formula1>"Annual,2-Year,3-Year,Quarterly/HY"</formula1>
      <formula2>0</formula2>
    </dataValidation>
    <dataValidation allowBlank="true" error="Please select from list" errorStyle="stop" errorTitle="Invalid Entry" operator="between" showDropDown="false" showErrorMessage="false" showInputMessage="false" sqref="U24" type="list">
      <formula1>"Yes,No"</formula1>
      <formula2>0</formula2>
    </dataValidation>
    <dataValidation allowBlank="true" error="Please select from list" errorStyle="stop" errorTitle="Invalid Entry" operator="between" showDropDown="false" showErrorMessage="false" showInputMessage="false" sqref="E25" type="list">
      <formula1>"Apr'26,May'26,Jun'26,Jul'26,Aug'26,Sep'26,Oct'26,Nov'26,Dec'26,Jan'27,Feb'27,Mar'27"</formula1>
      <formula2>0</formula2>
    </dataValidation>
    <dataValidation allowBlank="true" error="Please select from list" errorStyle="stop" errorTitle="Invalid Entry" operator="between" showDropDown="false" showErrorMessage="false" showInputMessage="false" sqref="H25" type="list">
      <formula1>"Annual,2-Year,3-Year,Quarterly/HY"</formula1>
      <formula2>0</formula2>
    </dataValidation>
    <dataValidation allowBlank="true" error="Please select from list" errorStyle="stop" errorTitle="Invalid Entry" operator="between" showDropDown="false" showErrorMessage="false" showInputMessage="false" sqref="U25" type="list">
      <formula1>"Yes,No"</formula1>
      <formula2>0</formula2>
    </dataValidation>
    <dataValidation allowBlank="true" error="Please select from list" errorStyle="stop" errorTitle="Invalid Entry" operator="between" showDropDown="false" showErrorMessage="false" showInputMessage="false" sqref="E26" type="list">
      <formula1>"Apr'26,May'26,Jun'26,Jul'26,Aug'26,Sep'26,Oct'26,Nov'26,Dec'26,Jan'27,Feb'27,Mar'27"</formula1>
      <formula2>0</formula2>
    </dataValidation>
    <dataValidation allowBlank="true" error="Please select from list" errorStyle="stop" errorTitle="Invalid Entry" operator="between" showDropDown="false" showErrorMessage="false" showInputMessage="false" sqref="H26" type="list">
      <formula1>"Annual,2-Year,3-Year,Quarterly/HY"</formula1>
      <formula2>0</formula2>
    </dataValidation>
    <dataValidation allowBlank="true" error="Please select from list" errorStyle="stop" errorTitle="Invalid Entry" operator="between" showDropDown="false" showErrorMessage="false" showInputMessage="false" sqref="U26" type="list">
      <formula1>"Yes,No"</formula1>
      <formula2>0</formula2>
    </dataValidation>
    <dataValidation allowBlank="true" error="Please select from list" errorStyle="stop" errorTitle="Invalid Entry" operator="between" showDropDown="false" showErrorMessage="false" showInputMessage="false" sqref="E27" type="list">
      <formula1>"Apr'26,May'26,Jun'26,Jul'26,Aug'26,Sep'26,Oct'26,Nov'26,Dec'26,Jan'27,Feb'27,Mar'27"</formula1>
      <formula2>0</formula2>
    </dataValidation>
    <dataValidation allowBlank="true" error="Please select from list" errorStyle="stop" errorTitle="Invalid Entry" operator="between" showDropDown="false" showErrorMessage="false" showInputMessage="false" sqref="H27" type="list">
      <formula1>"Annual,2-Year,3-Year,Quarterly/HY"</formula1>
      <formula2>0</formula2>
    </dataValidation>
    <dataValidation allowBlank="true" error="Please select from list" errorStyle="stop" errorTitle="Invalid Entry" operator="between" showDropDown="false" showErrorMessage="false" showInputMessage="false" sqref="U27" type="list">
      <formula1>"Yes,No"</formula1>
      <formula2>0</formula2>
    </dataValidation>
    <dataValidation allowBlank="true" error="Please select from list" errorStyle="stop" errorTitle="Invalid Entry" operator="between" showDropDown="false" showErrorMessage="false" showInputMessage="false" sqref="E28" type="list">
      <formula1>"Apr'26,May'26,Jun'26,Jul'26,Aug'26,Sep'26,Oct'26,Nov'26,Dec'26,Jan'27,Feb'27,Mar'27"</formula1>
      <formula2>0</formula2>
    </dataValidation>
    <dataValidation allowBlank="true" error="Please select from list" errorStyle="stop" errorTitle="Invalid Entry" operator="between" showDropDown="false" showErrorMessage="false" showInputMessage="false" sqref="H28" type="list">
      <formula1>"Annual,2-Year,3-Year,Quarterly/HY"</formula1>
      <formula2>0</formula2>
    </dataValidation>
    <dataValidation allowBlank="true" error="Please select from list" errorStyle="stop" errorTitle="Invalid Entry" operator="between" showDropDown="false" showErrorMessage="false" showInputMessage="false" sqref="U28" type="list">
      <formula1>"Yes,No"</formula1>
      <formula2>0</formula2>
    </dataValidation>
    <dataValidation allowBlank="true" error="Please select from list" errorStyle="stop" errorTitle="Invalid Entry" operator="between" showDropDown="false" showErrorMessage="false" showInputMessage="false" sqref="E29" type="list">
      <formula1>"Apr'26,May'26,Jun'26,Jul'26,Aug'26,Sep'26,Oct'26,Nov'26,Dec'26,Jan'27,Feb'27,Mar'27"</formula1>
      <formula2>0</formula2>
    </dataValidation>
    <dataValidation allowBlank="true" error="Please select from list" errorStyle="stop" errorTitle="Invalid Entry" operator="between" showDropDown="false" showErrorMessage="false" showInputMessage="false" sqref="H29" type="list">
      <formula1>"Annual,2-Year,3-Year,Quarterly/HY"</formula1>
      <formula2>0</formula2>
    </dataValidation>
    <dataValidation allowBlank="true" error="Please select from list" errorStyle="stop" errorTitle="Invalid Entry" operator="between" showDropDown="false" showErrorMessage="false" showInputMessage="false" sqref="U29" type="list">
      <formula1>"Yes,No"</formula1>
      <formula2>0</formula2>
    </dataValidation>
    <dataValidation allowBlank="true" error="Please select from list" errorStyle="stop" errorTitle="Invalid Entry" operator="between" showDropDown="false" showErrorMessage="false" showInputMessage="false" sqref="E30" type="list">
      <formula1>"Apr'26,May'26,Jun'26,Jul'26,Aug'26,Sep'26,Oct'26,Nov'26,Dec'26,Jan'27,Feb'27,Mar'27"</formula1>
      <formula2>0</formula2>
    </dataValidation>
    <dataValidation allowBlank="true" error="Please select from list" errorStyle="stop" errorTitle="Invalid Entry" operator="between" showDropDown="false" showErrorMessage="false" showInputMessage="false" sqref="H30" type="list">
      <formula1>"Annual,2-Year,3-Year,Quarterly/HY"</formula1>
      <formula2>0</formula2>
    </dataValidation>
    <dataValidation allowBlank="true" error="Please select from list" errorStyle="stop" errorTitle="Invalid Entry" operator="between" showDropDown="false" showErrorMessage="false" showInputMessage="false" sqref="U30" type="list">
      <formula1>"Yes,No"</formula1>
      <formula2>0</formula2>
    </dataValidation>
    <dataValidation allowBlank="true" error="Please select from list" errorStyle="stop" errorTitle="Invalid Entry" operator="between" showDropDown="false" showErrorMessage="false" showInputMessage="false" sqref="E31" type="list">
      <formula1>"Apr'26,May'26,Jun'26,Jul'26,Aug'26,Sep'26,Oct'26,Nov'26,Dec'26,Jan'27,Feb'27,Mar'27"</formula1>
      <formula2>0</formula2>
    </dataValidation>
    <dataValidation allowBlank="true" error="Please select from list" errorStyle="stop" errorTitle="Invalid Entry" operator="between" showDropDown="false" showErrorMessage="false" showInputMessage="false" sqref="H31" type="list">
      <formula1>"Annual,2-Year,3-Year,Quarterly/HY"</formula1>
      <formula2>0</formula2>
    </dataValidation>
    <dataValidation allowBlank="true" error="Please select from list" errorStyle="stop" errorTitle="Invalid Entry" operator="between" showDropDown="false" showErrorMessage="false" showInputMessage="false" sqref="U31" type="list">
      <formula1>"Yes,No"</formula1>
      <formula2>0</formula2>
    </dataValidation>
    <dataValidation allowBlank="true" error="Please select from list" errorStyle="stop" errorTitle="Invalid Entry" operator="between" showDropDown="false" showErrorMessage="false" showInputMessage="false" sqref="E32" type="list">
      <formula1>"Apr'26,May'26,Jun'26,Jul'26,Aug'26,Sep'26,Oct'26,Nov'26,Dec'26,Jan'27,Feb'27,Mar'27"</formula1>
      <formula2>0</formula2>
    </dataValidation>
    <dataValidation allowBlank="true" error="Please select from list" errorStyle="stop" errorTitle="Invalid Entry" operator="between" showDropDown="false" showErrorMessage="false" showInputMessage="false" sqref="H32" type="list">
      <formula1>"Annual,2-Year,3-Year,Quarterly/HY"</formula1>
      <formula2>0</formula2>
    </dataValidation>
    <dataValidation allowBlank="true" error="Please select from list" errorStyle="stop" errorTitle="Invalid Entry" operator="between" showDropDown="false" showErrorMessage="false" showInputMessage="false" sqref="U32" type="list">
      <formula1>"Yes,No"</formula1>
      <formula2>0</formula2>
    </dataValidation>
    <dataValidation allowBlank="true" error="Please select from list" errorStyle="stop" errorTitle="Invalid Entry" operator="between" showDropDown="false" showErrorMessage="false" showInputMessage="false" sqref="E33" type="list">
      <formula1>"Apr'26,May'26,Jun'26,Jul'26,Aug'26,Sep'26,Oct'26,Nov'26,Dec'26,Jan'27,Feb'27,Mar'27"</formula1>
      <formula2>0</formula2>
    </dataValidation>
    <dataValidation allowBlank="true" error="Please select from list" errorStyle="stop" errorTitle="Invalid Entry" operator="between" showDropDown="false" showErrorMessage="false" showInputMessage="false" sqref="H33" type="list">
      <formula1>"Annual,2-Year,3-Year,Quarterly/HY"</formula1>
      <formula2>0</formula2>
    </dataValidation>
    <dataValidation allowBlank="true" error="Please select from list" errorStyle="stop" errorTitle="Invalid Entry" operator="between" showDropDown="false" showErrorMessage="false" showInputMessage="false" sqref="U33" type="list">
      <formula1>"Yes,No"</formula1>
      <formula2>0</formula2>
    </dataValidation>
    <dataValidation allowBlank="true" error="Please select from list" errorStyle="stop" errorTitle="Invalid Entry" operator="between" showDropDown="false" showErrorMessage="false" showInputMessage="false" sqref="E34" type="list">
      <formula1>"Apr'26,May'26,Jun'26,Jul'26,Aug'26,Sep'26,Oct'26,Nov'26,Dec'26,Jan'27,Feb'27,Mar'27"</formula1>
      <formula2>0</formula2>
    </dataValidation>
    <dataValidation allowBlank="true" error="Please select from list" errorStyle="stop" errorTitle="Invalid Entry" operator="between" showDropDown="false" showErrorMessage="false" showInputMessage="false" sqref="H34" type="list">
      <formula1>"Annual,2-Year,3-Year,Quarterly/HY"</formula1>
      <formula2>0</formula2>
    </dataValidation>
    <dataValidation allowBlank="true" error="Please select from list" errorStyle="stop" errorTitle="Invalid Entry" operator="between" showDropDown="false" showErrorMessage="false" showInputMessage="false" sqref="U34" type="list">
      <formula1>"Yes,No"</formula1>
      <formula2>0</formula2>
    </dataValidation>
    <dataValidation allowBlank="true" error="Please select from list" errorStyle="stop" errorTitle="Invalid Entry" operator="between" showDropDown="false" showErrorMessage="false" showInputMessage="false" sqref="E35" type="list">
      <formula1>"Apr'26,May'26,Jun'26,Jul'26,Aug'26,Sep'26,Oct'26,Nov'26,Dec'26,Jan'27,Feb'27,Mar'27"</formula1>
      <formula2>0</formula2>
    </dataValidation>
    <dataValidation allowBlank="true" error="Please select from list" errorStyle="stop" errorTitle="Invalid Entry" operator="between" showDropDown="false" showErrorMessage="false" showInputMessage="false" sqref="H35" type="list">
      <formula1>"Annual,2-Year,3-Year,Quarterly/HY"</formula1>
      <formula2>0</formula2>
    </dataValidation>
    <dataValidation allowBlank="true" error="Please select from list" errorStyle="stop" errorTitle="Invalid Entry" operator="between" showDropDown="false" showErrorMessage="false" showInputMessage="false" sqref="U35" type="list">
      <formula1>"Yes,No"</formula1>
      <formula2>0</formula2>
    </dataValidation>
    <dataValidation allowBlank="true" error="Please select from list" errorStyle="stop" errorTitle="Invalid Entry" operator="between" showDropDown="false" showErrorMessage="false" showInputMessage="false" sqref="E36" type="list">
      <formula1>"Apr'26,May'26,Jun'26,Jul'26,Aug'26,Sep'26,Oct'26,Nov'26,Dec'26,Jan'27,Feb'27,Mar'27"</formula1>
      <formula2>0</formula2>
    </dataValidation>
    <dataValidation allowBlank="true" error="Please select from list" errorStyle="stop" errorTitle="Invalid Entry" operator="between" showDropDown="false" showErrorMessage="false" showInputMessage="false" sqref="H36" type="list">
      <formula1>"Annual,2-Year,3-Year,Quarterly/HY"</formula1>
      <formula2>0</formula2>
    </dataValidation>
    <dataValidation allowBlank="true" error="Please select from list" errorStyle="stop" errorTitle="Invalid Entry" operator="between" showDropDown="false" showErrorMessage="false" showInputMessage="false" sqref="U36" type="list">
      <formula1>"Yes,No"</formula1>
      <formula2>0</formula2>
    </dataValidation>
    <dataValidation allowBlank="true" error="Please select from list" errorStyle="stop" errorTitle="Invalid Entry" operator="between" showDropDown="false" showErrorMessage="false" showInputMessage="false" sqref="E37" type="list">
      <formula1>"Apr'26,May'26,Jun'26,Jul'26,Aug'26,Sep'26,Oct'26,Nov'26,Dec'26,Jan'27,Feb'27,Mar'27"</formula1>
      <formula2>0</formula2>
    </dataValidation>
    <dataValidation allowBlank="true" error="Please select from list" errorStyle="stop" errorTitle="Invalid Entry" operator="between" showDropDown="false" showErrorMessage="false" showInputMessage="false" sqref="H37" type="list">
      <formula1>"Annual,2-Year,3-Year,Quarterly/HY"</formula1>
      <formula2>0</formula2>
    </dataValidation>
    <dataValidation allowBlank="true" error="Please select from list" errorStyle="stop" errorTitle="Invalid Entry" operator="between" showDropDown="false" showErrorMessage="false" showInputMessage="false" sqref="U37" type="list">
      <formula1>"Yes,No"</formula1>
      <formula2>0</formula2>
    </dataValidation>
    <dataValidation allowBlank="true" error="Please select from list" errorStyle="stop" errorTitle="Invalid Entry" operator="between" showDropDown="false" showErrorMessage="false" showInputMessage="false" sqref="E38" type="list">
      <formula1>"Apr'26,May'26,Jun'26,Jul'26,Aug'26,Sep'26,Oct'26,Nov'26,Dec'26,Jan'27,Feb'27,Mar'27"</formula1>
      <formula2>0</formula2>
    </dataValidation>
    <dataValidation allowBlank="true" error="Please select from list" errorStyle="stop" errorTitle="Invalid Entry" operator="between" showDropDown="false" showErrorMessage="false" showInputMessage="false" sqref="H38" type="list">
      <formula1>"Annual,2-Year,3-Year,Quarterly/HY"</formula1>
      <formula2>0</formula2>
    </dataValidation>
    <dataValidation allowBlank="true" error="Please select from list" errorStyle="stop" errorTitle="Invalid Entry" operator="between" showDropDown="false" showErrorMessage="false" showInputMessage="false" sqref="U38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A00FF"/>
    <pageSetUpPr fitToPage="false"/>
  </sheetPr>
  <dimension ref="A1:M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0" width="25"/>
    <col collapsed="false" customWidth="true" hidden="false" outlineLevel="0" max="6" min="2" style="20" width="18"/>
  </cols>
  <sheetData>
    <row r="1" customFormat="false" ht="15" hidden="false" customHeight="true" outlineLevel="0" collapsed="false">
      <c r="A1" s="47" t="s">
        <v>427</v>
      </c>
    </row>
    <row r="2" customFormat="false" ht="26.25" hidden="false" customHeight="true" outlineLevel="0" collapsed="false">
      <c r="A2" s="21" t="s">
        <v>428</v>
      </c>
      <c r="B2" s="21" t="s">
        <v>429</v>
      </c>
    </row>
    <row r="3" customFormat="false" ht="15" hidden="false" customHeight="true" outlineLevel="0" collapsed="false">
      <c r="A3" s="20" t="n">
        <v>7</v>
      </c>
      <c r="B3" s="24" t="n">
        <v>200</v>
      </c>
    </row>
    <row r="4" customFormat="false" ht="15" hidden="false" customHeight="true" outlineLevel="0" collapsed="false">
      <c r="A4" s="20" t="n">
        <v>15</v>
      </c>
      <c r="B4" s="24" t="n">
        <v>300</v>
      </c>
    </row>
    <row r="5" customFormat="false" ht="15" hidden="false" customHeight="true" outlineLevel="0" collapsed="false">
      <c r="A5" s="20" t="s">
        <v>430</v>
      </c>
      <c r="B5" s="24" t="n">
        <v>500</v>
      </c>
    </row>
    <row r="7" customFormat="false" ht="15" hidden="false" customHeight="true" outlineLevel="0" collapsed="false">
      <c r="A7" s="47" t="s">
        <v>431</v>
      </c>
    </row>
    <row r="8" customFormat="false" ht="15" hidden="false" customHeight="true" outlineLevel="0" collapsed="false">
      <c r="A8" s="21" t="s">
        <v>432</v>
      </c>
      <c r="B8" s="21" t="s">
        <v>429</v>
      </c>
    </row>
    <row r="9" customFormat="false" ht="15" hidden="false" customHeight="true" outlineLevel="0" collapsed="false">
      <c r="A9" s="20" t="n">
        <v>7</v>
      </c>
      <c r="B9" s="24" t="n">
        <v>300</v>
      </c>
    </row>
    <row r="10" customFormat="false" ht="15" hidden="false" customHeight="true" outlineLevel="0" collapsed="false">
      <c r="A10" s="20" t="n">
        <v>11</v>
      </c>
      <c r="B10" s="24" t="n">
        <v>500</v>
      </c>
    </row>
    <row r="11" customFormat="false" ht="15" hidden="false" customHeight="true" outlineLevel="0" collapsed="false">
      <c r="A11" s="20" t="n">
        <v>16</v>
      </c>
      <c r="B11" s="24" t="n">
        <v>750</v>
      </c>
    </row>
    <row r="12" customFormat="false" ht="15" hidden="false" customHeight="true" outlineLevel="0" collapsed="false">
      <c r="A12" s="20" t="s">
        <v>430</v>
      </c>
      <c r="B12" s="24" t="n">
        <v>1000</v>
      </c>
    </row>
    <row r="14" customFormat="false" ht="15" hidden="false" customHeight="true" outlineLevel="0" collapsed="false">
      <c r="A14" s="31" t="s">
        <v>433</v>
      </c>
    </row>
    <row r="16" customFormat="false" ht="15" hidden="false" customHeight="true" outlineLevel="0" collapsed="false">
      <c r="A16" s="47" t="s">
        <v>434</v>
      </c>
    </row>
    <row r="17" customFormat="false" ht="51.75" hidden="false" customHeight="true" outlineLevel="0" collapsed="false">
      <c r="A17" s="21" t="s">
        <v>435</v>
      </c>
      <c r="B17" s="21" t="s">
        <v>436</v>
      </c>
      <c r="C17" s="21" t="s">
        <v>403</v>
      </c>
      <c r="D17" s="21" t="s">
        <v>437</v>
      </c>
      <c r="E17" s="21" t="s">
        <v>438</v>
      </c>
      <c r="F17" s="21" t="s">
        <v>439</v>
      </c>
      <c r="G17" s="21" t="s">
        <v>440</v>
      </c>
      <c r="H17" s="21" t="s">
        <v>412</v>
      </c>
      <c r="I17" s="21" t="s">
        <v>441</v>
      </c>
      <c r="J17" s="21" t="s">
        <v>442</v>
      </c>
      <c r="K17" s="21" t="s">
        <v>415</v>
      </c>
      <c r="L17" s="21" t="s">
        <v>443</v>
      </c>
      <c r="M17" s="21" t="s">
        <v>444</v>
      </c>
    </row>
    <row r="18" customFormat="false" ht="15" hidden="false" customHeight="true" outlineLevel="0" collapsed="false">
      <c r="A18" s="20" t="s">
        <v>289</v>
      </c>
      <c r="B18" s="43"/>
      <c r="D18" s="43"/>
      <c r="E18" s="24" t="n">
        <f aca="false">IF(D18&lt;7,0,IF(D18&lt;15,D18*200,IF(D18&lt;20,D18*300,D18*500)))</f>
        <v>0</v>
      </c>
      <c r="F18" s="43"/>
      <c r="G18" s="24" t="n">
        <f aca="false">IF(F18&lt;7,0,IF(F18&lt;11,F18*300,IF(F18&lt;16,F18*500,IF(F18&lt;20,F18*750,F18*1000))))</f>
        <v>0</v>
      </c>
      <c r="H18" s="43"/>
      <c r="I18" s="43"/>
      <c r="J18" s="24" t="n">
        <f aca="false">H18*0.3+I18*3</f>
        <v>0</v>
      </c>
      <c r="K18" s="43"/>
      <c r="L18" s="20" t="str">
        <f aca="false">IF(K18&gt;=0.8,"YES","NO")</f>
        <v>NO</v>
      </c>
      <c r="M18" s="24" t="n">
        <f aca="false">IF(L18="YES",E18+G18,0)</f>
        <v>0</v>
      </c>
    </row>
    <row r="19" customFormat="false" ht="15" hidden="false" customHeight="true" outlineLevel="0" collapsed="false">
      <c r="A19" s="20" t="s">
        <v>281</v>
      </c>
      <c r="B19" s="43"/>
      <c r="D19" s="43"/>
      <c r="E19" s="24" t="n">
        <f aca="false">IF(D19&lt;7,0,IF(D19&lt;15,D19*200,IF(D19&lt;20,D19*300,D19*500)))</f>
        <v>0</v>
      </c>
      <c r="F19" s="43"/>
      <c r="G19" s="24" t="n">
        <f aca="false">IF(F19&lt;7,0,IF(F19&lt;11,F19*300,IF(F19&lt;16,F19*500,IF(F19&lt;20,F19*750,F19*1000))))</f>
        <v>0</v>
      </c>
      <c r="H19" s="43"/>
      <c r="I19" s="43"/>
      <c r="J19" s="24" t="n">
        <f aca="false">H19*0.3+I19*3</f>
        <v>0</v>
      </c>
      <c r="K19" s="43"/>
      <c r="L19" s="20" t="str">
        <f aca="false">IF(K19&gt;=0.8,"YES","NO")</f>
        <v>NO</v>
      </c>
      <c r="M19" s="24" t="n">
        <f aca="false">IF(L19="YES",E19+G19,0)</f>
        <v>0</v>
      </c>
    </row>
    <row r="20" customFormat="false" ht="15" hidden="false" customHeight="true" outlineLevel="0" collapsed="false">
      <c r="A20" s="20" t="s">
        <v>312</v>
      </c>
      <c r="B20" s="43"/>
      <c r="D20" s="43"/>
      <c r="E20" s="24" t="n">
        <f aca="false">IF(D20&lt;7,0,IF(D20&lt;15,D20*200,IF(D20&lt;20,D20*300,D20*500)))</f>
        <v>0</v>
      </c>
      <c r="F20" s="43"/>
      <c r="G20" s="24" t="n">
        <f aca="false">IF(F20&lt;7,0,IF(F20&lt;11,F20*300,IF(F20&lt;16,F20*500,IF(F20&lt;20,F20*750,F20*1000))))</f>
        <v>0</v>
      </c>
      <c r="H20" s="43"/>
      <c r="I20" s="43"/>
      <c r="J20" s="24" t="n">
        <f aca="false">H20*0.3+I20*3</f>
        <v>0</v>
      </c>
      <c r="K20" s="43"/>
      <c r="L20" s="20" t="str">
        <f aca="false">IF(K20&gt;=0.8,"YES","NO")</f>
        <v>NO</v>
      </c>
      <c r="M20" s="24" t="n">
        <f aca="false">IF(L20="YES",E20+G20,0)</f>
        <v>0</v>
      </c>
    </row>
    <row r="21" customFormat="false" ht="15" hidden="false" customHeight="true" outlineLevel="0" collapsed="false">
      <c r="A21" s="20" t="s">
        <v>316</v>
      </c>
      <c r="B21" s="43"/>
      <c r="D21" s="43"/>
      <c r="E21" s="24" t="n">
        <f aca="false">IF(D21&lt;7,0,IF(D21&lt;15,D21*200,IF(D21&lt;20,D21*300,D21*500)))</f>
        <v>0</v>
      </c>
      <c r="F21" s="43"/>
      <c r="G21" s="24" t="n">
        <f aca="false">IF(F21&lt;7,0,IF(F21&lt;11,F21*300,IF(F21&lt;16,F21*500,IF(F21&lt;20,F21*750,F21*1000))))</f>
        <v>0</v>
      </c>
      <c r="H21" s="43"/>
      <c r="I21" s="43"/>
      <c r="J21" s="24" t="n">
        <f aca="false">H21*0.3+I21*3</f>
        <v>0</v>
      </c>
      <c r="K21" s="43"/>
      <c r="L21" s="20" t="str">
        <f aca="false">IF(K21&gt;=0.8,"YES","NO")</f>
        <v>NO</v>
      </c>
      <c r="M21" s="24" t="n">
        <f aca="false">IF(L21="YES",E21+G21,0)</f>
        <v>0</v>
      </c>
    </row>
    <row r="22" customFormat="false" ht="15" hidden="false" customHeight="true" outlineLevel="0" collapsed="false">
      <c r="A22" s="20" t="s">
        <v>318</v>
      </c>
      <c r="B22" s="43"/>
      <c r="D22" s="43"/>
      <c r="E22" s="24" t="n">
        <f aca="false">IF(D22&lt;7,0,IF(D22&lt;15,D22*200,IF(D22&lt;20,D22*300,D22*500)))</f>
        <v>0</v>
      </c>
      <c r="F22" s="43"/>
      <c r="G22" s="24" t="n">
        <f aca="false">IF(F22&lt;7,0,IF(F22&lt;11,F22*300,IF(F22&lt;16,F22*500,IF(F22&lt;20,F22*750,F22*1000))))</f>
        <v>0</v>
      </c>
      <c r="H22" s="43"/>
      <c r="I22" s="43"/>
      <c r="J22" s="24" t="n">
        <f aca="false">H22*0.3+I22*3</f>
        <v>0</v>
      </c>
      <c r="K22" s="43"/>
      <c r="L22" s="20" t="str">
        <f aca="false">IF(K22&gt;=0.8,"YES","NO")</f>
        <v>NO</v>
      </c>
      <c r="M22" s="24" t="n">
        <f aca="false">IF(L22="YES",E22+G22,0)</f>
        <v>0</v>
      </c>
    </row>
    <row r="23" customFormat="false" ht="15" hidden="false" customHeight="true" outlineLevel="0" collapsed="false">
      <c r="A23" s="20" t="s">
        <v>310</v>
      </c>
      <c r="B23" s="43"/>
      <c r="D23" s="43"/>
      <c r="E23" s="24" t="n">
        <f aca="false">IF(D23&lt;7,0,IF(D23&lt;15,D23*200,IF(D23&lt;20,D23*300,D23*500)))</f>
        <v>0</v>
      </c>
      <c r="F23" s="43"/>
      <c r="G23" s="24" t="n">
        <f aca="false">IF(F23&lt;7,0,IF(F23&lt;11,F23*300,IF(F23&lt;16,F23*500,IF(F23&lt;20,F23*750,F23*1000))))</f>
        <v>0</v>
      </c>
      <c r="H23" s="43"/>
      <c r="I23" s="43"/>
      <c r="J23" s="24" t="n">
        <f aca="false">H23*0.3+I23*3</f>
        <v>0</v>
      </c>
      <c r="K23" s="43"/>
      <c r="L23" s="20" t="str">
        <f aca="false">IF(K23&gt;=0.8,"YES","NO")</f>
        <v>NO</v>
      </c>
      <c r="M23" s="24" t="n">
        <f aca="false">IF(L23="YES",E23+G23,0)</f>
        <v>0</v>
      </c>
    </row>
    <row r="24" customFormat="false" ht="15" hidden="false" customHeight="true" outlineLevel="0" collapsed="false">
      <c r="A24" s="20" t="s">
        <v>308</v>
      </c>
      <c r="B24" s="43"/>
      <c r="D24" s="43"/>
      <c r="E24" s="24" t="n">
        <f aca="false">IF(D24&lt;7,0,IF(D24&lt;15,D24*200,IF(D24&lt;20,D24*300,D24*500)))</f>
        <v>0</v>
      </c>
      <c r="F24" s="43"/>
      <c r="G24" s="24" t="n">
        <f aca="false">IF(F24&lt;7,0,IF(F24&lt;11,F24*300,IF(F24&lt;16,F24*500,IF(F24&lt;20,F24*750,F24*1000))))</f>
        <v>0</v>
      </c>
      <c r="H24" s="43"/>
      <c r="I24" s="43"/>
      <c r="J24" s="24" t="n">
        <f aca="false">H24*0.3+I24*3</f>
        <v>0</v>
      </c>
      <c r="K24" s="43"/>
      <c r="L24" s="20" t="str">
        <f aca="false">IF(K24&gt;=0.8,"YES","NO")</f>
        <v>NO</v>
      </c>
      <c r="M24" s="24" t="n">
        <f aca="false">IF(L24="YES",E24+G24,0)</f>
        <v>0</v>
      </c>
    </row>
    <row r="25" customFormat="false" ht="15" hidden="false" customHeight="true" outlineLevel="0" collapsed="false">
      <c r="A25" s="20" t="s">
        <v>314</v>
      </c>
      <c r="B25" s="43"/>
      <c r="D25" s="43"/>
      <c r="E25" s="24" t="n">
        <f aca="false">IF(D25&lt;7,0,IF(D25&lt;15,D25*200,IF(D25&lt;20,D25*300,D25*500)))</f>
        <v>0</v>
      </c>
      <c r="F25" s="43"/>
      <c r="G25" s="24" t="n">
        <f aca="false">IF(F25&lt;7,0,IF(F25&lt;11,F25*300,IF(F25&lt;16,F25*500,IF(F25&lt;20,F25*750,F25*1000))))</f>
        <v>0</v>
      </c>
      <c r="H25" s="43"/>
      <c r="I25" s="43"/>
      <c r="J25" s="24" t="n">
        <f aca="false">H25*0.3+I25*3</f>
        <v>0</v>
      </c>
      <c r="K25" s="43"/>
      <c r="L25" s="20" t="str">
        <f aca="false">IF(K25&gt;=0.8,"YES","NO")</f>
        <v>NO</v>
      </c>
      <c r="M25" s="24" t="n">
        <f aca="false">IF(L25="YES",E25+G25,0)</f>
        <v>0</v>
      </c>
    </row>
    <row r="26" customFormat="false" ht="15" hidden="false" customHeight="true" outlineLevel="0" collapsed="false">
      <c r="A26" s="20" t="s">
        <v>320</v>
      </c>
      <c r="B26" s="43"/>
      <c r="D26" s="43"/>
      <c r="E26" s="24" t="n">
        <f aca="false">IF(D26&lt;7,0,IF(D26&lt;15,D26*200,IF(D26&lt;20,D26*300,D26*500)))</f>
        <v>0</v>
      </c>
      <c r="F26" s="43"/>
      <c r="G26" s="24" t="n">
        <f aca="false">IF(F26&lt;7,0,IF(F26&lt;11,F26*300,IF(F26&lt;16,F26*500,IF(F26&lt;20,F26*750,F26*1000))))</f>
        <v>0</v>
      </c>
      <c r="H26" s="43"/>
      <c r="I26" s="43"/>
      <c r="J26" s="24" t="n">
        <f aca="false">H26*0.3+I26*3</f>
        <v>0</v>
      </c>
      <c r="K26" s="43"/>
      <c r="L26" s="20" t="str">
        <f aca="false">IF(K26&gt;=0.8,"YES","NO")</f>
        <v>NO</v>
      </c>
      <c r="M26" s="24" t="n">
        <f aca="false">IF(L26="YES",E26+G26,0)</f>
        <v>0</v>
      </c>
    </row>
    <row r="28" customFormat="false" ht="15" hidden="false" customHeight="true" outlineLevel="0" collapsed="false">
      <c r="A28" s="47" t="s">
        <v>445</v>
      </c>
    </row>
    <row r="29" customFormat="false" ht="26.25" hidden="false" customHeight="true" outlineLevel="0" collapsed="false">
      <c r="A29" s="21" t="s">
        <v>446</v>
      </c>
      <c r="B29" s="21" t="s">
        <v>447</v>
      </c>
      <c r="C29" s="21" t="s">
        <v>448</v>
      </c>
      <c r="D29" s="21" t="s">
        <v>449</v>
      </c>
      <c r="E29" s="21" t="s">
        <v>450</v>
      </c>
      <c r="F29" s="21" t="s">
        <v>451</v>
      </c>
    </row>
    <row r="30" customFormat="false" ht="15" hidden="false" customHeight="true" outlineLevel="0" collapsed="false">
      <c r="A30" s="20" t="s">
        <v>452</v>
      </c>
      <c r="B30" s="20" t="s">
        <v>453</v>
      </c>
      <c r="C30" s="20" t="n">
        <v>72</v>
      </c>
      <c r="D30" s="20" t="n">
        <v>21</v>
      </c>
      <c r="E30" s="20" t="n">
        <v>86</v>
      </c>
      <c r="F30" s="20" t="s">
        <v>454</v>
      </c>
    </row>
    <row r="31" customFormat="false" ht="15" hidden="false" customHeight="true" outlineLevel="0" collapsed="false">
      <c r="A31" s="20" t="s">
        <v>452</v>
      </c>
      <c r="B31" s="20" t="s">
        <v>455</v>
      </c>
      <c r="C31" s="20" t="n">
        <v>48</v>
      </c>
      <c r="D31" s="20" t="n">
        <v>15</v>
      </c>
      <c r="E31" s="20" t="n">
        <v>66</v>
      </c>
      <c r="F31" s="20" t="s">
        <v>456</v>
      </c>
    </row>
    <row r="32" customFormat="false" ht="15" hidden="false" customHeight="true" outlineLevel="0" collapsed="false">
      <c r="A32" s="20" t="s">
        <v>452</v>
      </c>
      <c r="B32" s="20" t="s">
        <v>457</v>
      </c>
      <c r="C32" s="20" t="n">
        <v>36</v>
      </c>
      <c r="D32" s="20" t="n">
        <v>12</v>
      </c>
      <c r="E32" s="20" t="n">
        <v>56</v>
      </c>
      <c r="F32" s="20" t="s">
        <v>458</v>
      </c>
    </row>
    <row r="33" customFormat="false" ht="15" hidden="false" customHeight="true" outlineLevel="0" collapsed="false">
      <c r="A33" s="20" t="s">
        <v>452</v>
      </c>
      <c r="B33" s="20" t="s">
        <v>459</v>
      </c>
      <c r="C33" s="20" t="s">
        <v>460</v>
      </c>
      <c r="D33" s="20" t="s">
        <v>299</v>
      </c>
      <c r="E33" s="20" t="s">
        <v>299</v>
      </c>
      <c r="F33" s="20" t="s">
        <v>461</v>
      </c>
    </row>
    <row r="34" customFormat="false" ht="15" hidden="false" customHeight="true" outlineLevel="0" collapsed="false">
      <c r="A34" s="20" t="s">
        <v>462</v>
      </c>
      <c r="B34" s="20" t="s">
        <v>453</v>
      </c>
      <c r="C34" s="20" t="n">
        <v>117</v>
      </c>
      <c r="D34" s="20" t="n">
        <v>21</v>
      </c>
      <c r="E34" s="20" t="n">
        <v>109</v>
      </c>
      <c r="F34" s="20" t="s">
        <v>454</v>
      </c>
    </row>
    <row r="35" customFormat="false" ht="15" hidden="false" customHeight="true" outlineLevel="0" collapsed="false">
      <c r="A35" s="20" t="s">
        <v>462</v>
      </c>
      <c r="B35" s="20" t="s">
        <v>455</v>
      </c>
      <c r="C35" s="20" t="n">
        <v>78</v>
      </c>
      <c r="D35" s="20" t="n">
        <v>15</v>
      </c>
      <c r="E35" s="20" t="n">
        <v>84</v>
      </c>
      <c r="F35" s="20" t="s">
        <v>456</v>
      </c>
    </row>
    <row r="36" customFormat="false" ht="15" hidden="false" customHeight="true" outlineLevel="0" collapsed="false">
      <c r="A36" s="20" t="s">
        <v>462</v>
      </c>
      <c r="B36" s="20" t="s">
        <v>457</v>
      </c>
      <c r="C36" s="20" t="n">
        <v>50</v>
      </c>
      <c r="D36" s="20" t="n">
        <v>12</v>
      </c>
      <c r="E36" s="20" t="n">
        <v>60</v>
      </c>
      <c r="F36" s="20" t="s">
        <v>458</v>
      </c>
    </row>
    <row r="38" customFormat="false" ht="15" hidden="false" customHeight="true" outlineLevel="0" collapsed="false">
      <c r="A38" s="47" t="s">
        <v>463</v>
      </c>
    </row>
    <row r="39" customFormat="false" ht="26.25" hidden="false" customHeight="true" outlineLevel="0" collapsed="false">
      <c r="A39" s="21" t="s">
        <v>447</v>
      </c>
      <c r="B39" s="21" t="s">
        <v>464</v>
      </c>
      <c r="C39" s="21" t="s">
        <v>465</v>
      </c>
    </row>
    <row r="40" customFormat="false" ht="15" hidden="false" customHeight="true" outlineLevel="0" collapsed="false">
      <c r="A40" s="20" t="s">
        <v>466</v>
      </c>
      <c r="B40" s="20" t="s">
        <v>467</v>
      </c>
      <c r="C40" s="24" t="n">
        <v>3000</v>
      </c>
    </row>
    <row r="41" customFormat="false" ht="15" hidden="false" customHeight="true" outlineLevel="0" collapsed="false">
      <c r="A41" s="20" t="s">
        <v>77</v>
      </c>
      <c r="B41" s="20" t="s">
        <v>39</v>
      </c>
      <c r="C41" s="24" t="n">
        <v>2000</v>
      </c>
    </row>
    <row r="42" customFormat="false" ht="15" hidden="false" customHeight="true" outlineLevel="0" collapsed="false">
      <c r="A42" s="20" t="s">
        <v>468</v>
      </c>
      <c r="B42" s="20" t="s">
        <v>48</v>
      </c>
      <c r="C42" s="24" t="n">
        <v>0</v>
      </c>
    </row>
    <row r="43" customFormat="false" ht="15" hidden="false" customHeight="true" outlineLevel="0" collapsed="false">
      <c r="A43" s="20" t="s">
        <v>461</v>
      </c>
      <c r="B43" s="20" t="s">
        <v>469</v>
      </c>
      <c r="C43" s="24" t="n">
        <v>0</v>
      </c>
    </row>
  </sheetData>
  <dataValidations count="9">
    <dataValidation allowBlank="true" error="Please select from list" errorStyle="stop" errorTitle="Invalid Entry" operator="between" showDropDown="false" showErrorMessage="false" showInputMessage="false" sqref="B18" type="list">
      <formula1>"RM,CDM,Area Manager,Regional Manager"</formula1>
      <formula2>0</formula2>
    </dataValidation>
    <dataValidation allowBlank="true" error="Please select from list" errorStyle="stop" errorTitle="Invalid Entry" operator="between" showDropDown="false" showErrorMessage="false" showInputMessage="false" sqref="B19" type="list">
      <formula1>"RM,CDM,Area Manager,Regional Manager"</formula1>
      <formula2>0</formula2>
    </dataValidation>
    <dataValidation allowBlank="true" error="Please select from list" errorStyle="stop" errorTitle="Invalid Entry" operator="between" showDropDown="false" showErrorMessage="false" showInputMessage="false" sqref="B20" type="list">
      <formula1>"RM,CDM,Area Manager,Regional Manager"</formula1>
      <formula2>0</formula2>
    </dataValidation>
    <dataValidation allowBlank="true" error="Please select from list" errorStyle="stop" errorTitle="Invalid Entry" operator="between" showDropDown="false" showErrorMessage="false" showInputMessage="false" sqref="B21" type="list">
      <formula1>"RM,CDM,Area Manager,Regional Manager"</formula1>
      <formula2>0</formula2>
    </dataValidation>
    <dataValidation allowBlank="true" error="Please select from list" errorStyle="stop" errorTitle="Invalid Entry" operator="between" showDropDown="false" showErrorMessage="false" showInputMessage="false" sqref="B22" type="list">
      <formula1>"RM,CDM,Area Manager,Regional Manager"</formula1>
      <formula2>0</formula2>
    </dataValidation>
    <dataValidation allowBlank="true" error="Please select from list" errorStyle="stop" errorTitle="Invalid Entry" operator="between" showDropDown="false" showErrorMessage="false" showInputMessage="false" sqref="B23" type="list">
      <formula1>"RM,CDM,Area Manager,Regional Manager"</formula1>
      <formula2>0</formula2>
    </dataValidation>
    <dataValidation allowBlank="true" error="Please select from list" errorStyle="stop" errorTitle="Invalid Entry" operator="between" showDropDown="false" showErrorMessage="false" showInputMessage="false" sqref="B24" type="list">
      <formula1>"RM,CDM,Area Manager,Regional Manager"</formula1>
      <formula2>0</formula2>
    </dataValidation>
    <dataValidation allowBlank="true" error="Please select from list" errorStyle="stop" errorTitle="Invalid Entry" operator="between" showDropDown="false" showErrorMessage="false" showInputMessage="false" sqref="B25" type="list">
      <formula1>"RM,CDM,Area Manager,Regional Manager"</formula1>
      <formula2>0</formula2>
    </dataValidation>
    <dataValidation allowBlank="true" error="Please select from list" errorStyle="stop" errorTitle="Invalid Entry" operator="between" showDropDown="false" showErrorMessage="false" showInputMessage="false" sqref="B26" type="list">
      <formula1>"RM,CDM,Area Manager,Regional Manager"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9999"/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4" min="1" style="20" width="18"/>
    <col collapsed="false" customWidth="true" hidden="false" outlineLevel="0" max="6" min="5" style="20" width="14"/>
    <col collapsed="false" customWidth="true" hidden="false" outlineLevel="0" max="7" min="7" style="20" width="12"/>
    <col collapsed="false" customWidth="true" hidden="false" outlineLevel="0" max="9" min="8" style="20" width="18"/>
    <col collapsed="false" customWidth="true" hidden="false" outlineLevel="0" max="10" min="10" style="20" width="16"/>
  </cols>
  <sheetData>
    <row r="1" customFormat="false" ht="26.25" hidden="false" customHeight="true" outlineLevel="0" collapsed="false">
      <c r="A1" s="21" t="s">
        <v>470</v>
      </c>
      <c r="B1" s="21" t="s">
        <v>471</v>
      </c>
      <c r="C1" s="21" t="s">
        <v>472</v>
      </c>
      <c r="D1" s="21" t="s">
        <v>473</v>
      </c>
      <c r="E1" s="21" t="s">
        <v>474</v>
      </c>
      <c r="F1" s="21" t="s">
        <v>475</v>
      </c>
      <c r="G1" s="21" t="s">
        <v>476</v>
      </c>
      <c r="H1" s="21" t="s">
        <v>477</v>
      </c>
      <c r="I1" s="21" t="s">
        <v>478</v>
      </c>
      <c r="J1" s="21" t="s">
        <v>479</v>
      </c>
    </row>
    <row r="2" customFormat="false" ht="15" hidden="false" customHeight="true" outlineLevel="0" collapsed="false">
      <c r="A2" s="20" t="s">
        <v>184</v>
      </c>
      <c r="B2" s="43"/>
      <c r="C2" s="43"/>
      <c r="D2" s="24" t="n">
        <v>0</v>
      </c>
      <c r="E2" s="24" t="n">
        <v>0</v>
      </c>
      <c r="F2" s="24" t="n">
        <f aca="false">C2-E2</f>
        <v>0</v>
      </c>
      <c r="G2" s="43"/>
      <c r="H2" s="24" t="n">
        <f aca="false">IF(G2=0,0,B2/G2)</f>
        <v>0</v>
      </c>
      <c r="I2" s="24" t="n">
        <f aca="false">IF(G2=0,0,F2/G2)</f>
        <v>0</v>
      </c>
      <c r="J2" s="45" t="n">
        <v>0</v>
      </c>
    </row>
    <row r="3" customFormat="false" ht="15" hidden="false" customHeight="true" outlineLevel="0" collapsed="false">
      <c r="A3" s="20" t="s">
        <v>188</v>
      </c>
      <c r="B3" s="43"/>
      <c r="C3" s="43"/>
      <c r="D3" s="24" t="n">
        <v>0</v>
      </c>
      <c r="E3" s="24" t="n">
        <v>0</v>
      </c>
      <c r="F3" s="24" t="n">
        <f aca="false">C3-E3</f>
        <v>0</v>
      </c>
      <c r="G3" s="43"/>
      <c r="H3" s="24" t="n">
        <f aca="false">IF(G3=0,0,B3/G3)</f>
        <v>0</v>
      </c>
      <c r="I3" s="24" t="n">
        <f aca="false">IF(G3=0,0,F3/G3)</f>
        <v>0</v>
      </c>
      <c r="J3" s="45" t="n">
        <v>0</v>
      </c>
    </row>
    <row r="4" customFormat="false" ht="15" hidden="false" customHeight="true" outlineLevel="0" collapsed="false">
      <c r="A4" s="20" t="s">
        <v>199</v>
      </c>
      <c r="B4" s="43"/>
      <c r="C4" s="43"/>
      <c r="D4" s="24" t="n">
        <v>0</v>
      </c>
      <c r="E4" s="24" t="n">
        <v>0</v>
      </c>
      <c r="F4" s="24" t="n">
        <f aca="false">C4-E4</f>
        <v>0</v>
      </c>
      <c r="G4" s="43"/>
      <c r="H4" s="24" t="n">
        <f aca="false">IF(G4=0,0,B4/G4)</f>
        <v>0</v>
      </c>
      <c r="I4" s="24" t="n">
        <f aca="false">IF(G4=0,0,F4/G4)</f>
        <v>0</v>
      </c>
      <c r="J4" s="45" t="n">
        <v>0</v>
      </c>
    </row>
    <row r="5" customFormat="false" ht="15" hidden="false" customHeight="true" outlineLevel="0" collapsed="false">
      <c r="A5" s="20" t="s">
        <v>202</v>
      </c>
      <c r="B5" s="43"/>
      <c r="C5" s="43"/>
      <c r="D5" s="24" t="n">
        <v>0</v>
      </c>
      <c r="E5" s="24" t="n">
        <v>0</v>
      </c>
      <c r="F5" s="24" t="n">
        <f aca="false">C5-E5</f>
        <v>0</v>
      </c>
      <c r="G5" s="43"/>
      <c r="H5" s="24" t="n">
        <f aca="false">IF(G5=0,0,B5/G5)</f>
        <v>0</v>
      </c>
      <c r="I5" s="24" t="n">
        <f aca="false">IF(G5=0,0,F5/G5)</f>
        <v>0</v>
      </c>
      <c r="J5" s="45" t="n">
        <v>0</v>
      </c>
    </row>
    <row r="6" customFormat="false" ht="15" hidden="false" customHeight="true" outlineLevel="0" collapsed="false">
      <c r="A6" s="20" t="s">
        <v>173</v>
      </c>
      <c r="B6" s="43"/>
      <c r="C6" s="43"/>
      <c r="D6" s="24" t="n">
        <v>0</v>
      </c>
      <c r="E6" s="24" t="n">
        <v>0</v>
      </c>
      <c r="F6" s="24" t="n">
        <f aca="false">C6-E6</f>
        <v>0</v>
      </c>
      <c r="G6" s="43"/>
      <c r="H6" s="24" t="n">
        <f aca="false">IF(G6=0,0,B6/G6)</f>
        <v>0</v>
      </c>
      <c r="I6" s="24" t="n">
        <f aca="false">IF(G6=0,0,F6/G6)</f>
        <v>0</v>
      </c>
      <c r="J6" s="45" t="n">
        <v>0</v>
      </c>
    </row>
    <row r="7" customFormat="false" ht="15" hidden="false" customHeight="true" outlineLevel="0" collapsed="false">
      <c r="A7" s="20" t="s">
        <v>224</v>
      </c>
      <c r="B7" s="43"/>
      <c r="C7" s="43"/>
      <c r="D7" s="24" t="n">
        <v>0</v>
      </c>
      <c r="E7" s="24" t="n">
        <v>0</v>
      </c>
      <c r="F7" s="24" t="n">
        <f aca="false">C7-E7</f>
        <v>0</v>
      </c>
      <c r="G7" s="43"/>
      <c r="H7" s="24" t="n">
        <f aca="false">IF(G7=0,0,B7/G7)</f>
        <v>0</v>
      </c>
      <c r="I7" s="24" t="n">
        <f aca="false">IF(G7=0,0,F7/G7)</f>
        <v>0</v>
      </c>
      <c r="J7" s="45" t="n">
        <v>0</v>
      </c>
    </row>
    <row r="8" customFormat="false" ht="15" hidden="false" customHeight="true" outlineLevel="0" collapsed="false">
      <c r="A8" s="20" t="s">
        <v>189</v>
      </c>
      <c r="B8" s="43"/>
      <c r="C8" s="43"/>
      <c r="D8" s="24" t="n">
        <v>0</v>
      </c>
      <c r="E8" s="24" t="n">
        <v>0</v>
      </c>
      <c r="F8" s="24" t="n">
        <f aca="false">C8-E8</f>
        <v>0</v>
      </c>
      <c r="G8" s="43"/>
      <c r="H8" s="24" t="n">
        <f aca="false">IF(G8=0,0,B8/G8)</f>
        <v>0</v>
      </c>
      <c r="I8" s="24" t="n">
        <f aca="false">IF(G8=0,0,F8/G8)</f>
        <v>0</v>
      </c>
      <c r="J8" s="45" t="n">
        <v>0</v>
      </c>
    </row>
    <row r="9" customFormat="false" ht="15" hidden="false" customHeight="true" outlineLevel="0" collapsed="false">
      <c r="A9" s="20" t="s">
        <v>230</v>
      </c>
      <c r="B9" s="43"/>
      <c r="C9" s="43"/>
      <c r="D9" s="24" t="n">
        <v>0</v>
      </c>
      <c r="E9" s="24" t="n">
        <v>0</v>
      </c>
      <c r="F9" s="24" t="n">
        <f aca="false">C9-E9</f>
        <v>0</v>
      </c>
      <c r="G9" s="43"/>
      <c r="H9" s="24" t="n">
        <f aca="false">IF(G9=0,0,B9/G9)</f>
        <v>0</v>
      </c>
      <c r="I9" s="24" t="n">
        <f aca="false">IF(G9=0,0,F9/G9)</f>
        <v>0</v>
      </c>
      <c r="J9" s="45" t="n">
        <v>0</v>
      </c>
    </row>
    <row r="10" customFormat="false" ht="15" hidden="false" customHeight="true" outlineLevel="0" collapsed="false">
      <c r="A10" s="20" t="s">
        <v>179</v>
      </c>
      <c r="B10" s="43"/>
      <c r="C10" s="43"/>
      <c r="D10" s="24" t="n">
        <v>0</v>
      </c>
      <c r="E10" s="24" t="n">
        <v>0</v>
      </c>
      <c r="F10" s="24" t="n">
        <f aca="false">C10-E10</f>
        <v>0</v>
      </c>
      <c r="G10" s="43"/>
      <c r="H10" s="24" t="n">
        <f aca="false">IF(G10=0,0,B10/G10)</f>
        <v>0</v>
      </c>
      <c r="I10" s="24" t="n">
        <f aca="false">IF(G10=0,0,F10/G10)</f>
        <v>0</v>
      </c>
      <c r="J10" s="45" t="n">
        <v>0</v>
      </c>
    </row>
    <row r="11" customFormat="false" ht="15" hidden="false" customHeight="true" outlineLevel="0" collapsed="false">
      <c r="A11" s="20" t="s">
        <v>218</v>
      </c>
      <c r="B11" s="43"/>
      <c r="C11" s="43"/>
      <c r="D11" s="24" t="n">
        <v>0</v>
      </c>
      <c r="E11" s="24" t="n">
        <v>0</v>
      </c>
      <c r="F11" s="24" t="n">
        <f aca="false">C11-E11</f>
        <v>0</v>
      </c>
      <c r="G11" s="43"/>
      <c r="H11" s="24" t="n">
        <f aca="false">IF(G11=0,0,B11/G11)</f>
        <v>0</v>
      </c>
      <c r="I11" s="24" t="n">
        <f aca="false">IF(G11=0,0,F11/G11)</f>
        <v>0</v>
      </c>
      <c r="J11" s="45" t="n">
        <v>0</v>
      </c>
    </row>
    <row r="12" customFormat="false" ht="15" hidden="false" customHeight="true" outlineLevel="0" collapsed="false">
      <c r="A12" s="48" t="s">
        <v>480</v>
      </c>
      <c r="B12" s="49"/>
      <c r="C12" s="49"/>
      <c r="D12" s="49"/>
      <c r="E12" s="49"/>
      <c r="F12" s="49"/>
      <c r="G12" s="49"/>
      <c r="H12" s="49"/>
      <c r="I12" s="49"/>
      <c r="J12" s="4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6600"/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0" width="30"/>
    <col collapsed="false" customWidth="true" hidden="false" outlineLevel="0" max="3" min="2" style="20" width="15"/>
  </cols>
  <sheetData>
    <row r="1" customFormat="false" ht="17.25" hidden="false" customHeight="true" outlineLevel="0" collapsed="false">
      <c r="A1" s="50" t="s">
        <v>481</v>
      </c>
    </row>
    <row r="3" customFormat="false" ht="15" hidden="false" customHeight="true" outlineLevel="0" collapsed="false">
      <c r="A3" s="48" t="s">
        <v>482</v>
      </c>
    </row>
    <row r="4" customFormat="false" ht="15" hidden="false" customHeight="true" outlineLevel="0" collapsed="false">
      <c r="A4" s="20" t="s">
        <v>163</v>
      </c>
      <c r="B4" s="24" t="n">
        <v>600000</v>
      </c>
    </row>
    <row r="5" customFormat="false" ht="15" hidden="false" customHeight="true" outlineLevel="0" collapsed="false">
      <c r="A5" s="20" t="s">
        <v>483</v>
      </c>
      <c r="B5" s="24" t="n">
        <v>50000</v>
      </c>
      <c r="C5" s="24" t="n">
        <f aca="false">B5-600000/12</f>
        <v>0</v>
      </c>
    </row>
    <row r="6" customFormat="false" ht="15" hidden="false" customHeight="true" outlineLevel="0" collapsed="false">
      <c r="A6" s="20" t="s">
        <v>484</v>
      </c>
      <c r="B6" s="24" t="n">
        <v>75000</v>
      </c>
      <c r="C6" s="24" t="n">
        <f aca="false">B6-600000/12</f>
        <v>25000</v>
      </c>
    </row>
    <row r="7" customFormat="false" ht="15" hidden="false" customHeight="true" outlineLevel="0" collapsed="false">
      <c r="A7" s="20" t="s">
        <v>485</v>
      </c>
      <c r="B7" s="24" t="n">
        <v>100000</v>
      </c>
      <c r="C7" s="24" t="n">
        <f aca="false">B7-600000/12</f>
        <v>50000</v>
      </c>
    </row>
    <row r="8" customFormat="false" ht="15" hidden="false" customHeight="true" outlineLevel="0" collapsed="false">
      <c r="A8" s="20" t="s">
        <v>486</v>
      </c>
      <c r="B8" s="24" t="n">
        <v>150000</v>
      </c>
      <c r="C8" s="24" t="n">
        <f aca="false">B8-600000/12</f>
        <v>100000</v>
      </c>
    </row>
    <row r="9" customFormat="false" ht="15" hidden="false" customHeight="true" outlineLevel="0" collapsed="false">
      <c r="A9" s="20" t="s">
        <v>487</v>
      </c>
      <c r="B9" s="20" t="s">
        <v>488</v>
      </c>
    </row>
    <row r="10" customFormat="false" ht="15" hidden="false" customHeight="true" outlineLevel="0" collapsed="false">
      <c r="A10" s="20" t="s">
        <v>489</v>
      </c>
      <c r="B10" s="51" t="s">
        <v>490</v>
      </c>
    </row>
    <row r="12" customFormat="false" ht="15" hidden="false" customHeight="true" outlineLevel="0" collapsed="false">
      <c r="A12" s="48" t="s">
        <v>491</v>
      </c>
    </row>
    <row r="13" customFormat="false" ht="15" hidden="false" customHeight="true" outlineLevel="0" collapsed="false">
      <c r="A13" s="20" t="s">
        <v>163</v>
      </c>
      <c r="B13" s="24" t="n">
        <v>600000</v>
      </c>
    </row>
    <row r="14" customFormat="false" ht="15" hidden="false" customHeight="true" outlineLevel="0" collapsed="false">
      <c r="A14" s="20" t="s">
        <v>483</v>
      </c>
      <c r="B14" s="24" t="n">
        <v>80000</v>
      </c>
      <c r="C14" s="24" t="n">
        <f aca="false">B14-600000/12</f>
        <v>30000</v>
      </c>
    </row>
    <row r="15" customFormat="false" ht="15" hidden="false" customHeight="true" outlineLevel="0" collapsed="false">
      <c r="A15" s="20" t="s">
        <v>484</v>
      </c>
      <c r="B15" s="24" t="n">
        <v>120000</v>
      </c>
      <c r="C15" s="24" t="n">
        <f aca="false">B15-600000/12</f>
        <v>70000</v>
      </c>
    </row>
    <row r="16" customFormat="false" ht="15" hidden="false" customHeight="true" outlineLevel="0" collapsed="false">
      <c r="A16" s="20" t="s">
        <v>485</v>
      </c>
      <c r="B16" s="24" t="n">
        <v>180000</v>
      </c>
      <c r="C16" s="24" t="n">
        <f aca="false">B16-600000/12</f>
        <v>130000</v>
      </c>
    </row>
    <row r="17" customFormat="false" ht="15" hidden="false" customHeight="true" outlineLevel="0" collapsed="false">
      <c r="A17" s="20" t="s">
        <v>486</v>
      </c>
      <c r="B17" s="24" t="n">
        <v>250000</v>
      </c>
      <c r="C17" s="24" t="n">
        <f aca="false">B17-600000/12</f>
        <v>200000</v>
      </c>
    </row>
    <row r="18" customFormat="false" ht="15" hidden="false" customHeight="true" outlineLevel="0" collapsed="false">
      <c r="A18" s="20" t="s">
        <v>487</v>
      </c>
      <c r="B18" s="20" t="s">
        <v>488</v>
      </c>
    </row>
    <row r="19" customFormat="false" ht="15" hidden="false" customHeight="true" outlineLevel="0" collapsed="false">
      <c r="A19" s="20" t="s">
        <v>489</v>
      </c>
      <c r="B19" s="51" t="s">
        <v>490</v>
      </c>
    </row>
    <row r="21" customFormat="false" ht="15" hidden="false" customHeight="true" outlineLevel="0" collapsed="false">
      <c r="A21" s="48" t="s">
        <v>492</v>
      </c>
    </row>
    <row r="22" customFormat="false" ht="15" hidden="false" customHeight="true" outlineLevel="0" collapsed="false">
      <c r="A22" s="20" t="s">
        <v>163</v>
      </c>
      <c r="B22" s="24" t="n">
        <v>4500000</v>
      </c>
    </row>
    <row r="23" customFormat="false" ht="15" hidden="false" customHeight="true" outlineLevel="0" collapsed="false">
      <c r="A23" s="20" t="s">
        <v>483</v>
      </c>
      <c r="B23" s="24" t="n">
        <v>150000</v>
      </c>
      <c r="C23" s="24" t="n">
        <f aca="false">B23-4500000/12</f>
        <v>-225000</v>
      </c>
    </row>
    <row r="24" customFormat="false" ht="15" hidden="false" customHeight="true" outlineLevel="0" collapsed="false">
      <c r="A24" s="20" t="s">
        <v>484</v>
      </c>
      <c r="B24" s="24" t="n">
        <v>250000</v>
      </c>
      <c r="C24" s="24" t="n">
        <f aca="false">B24-4500000/12</f>
        <v>-125000</v>
      </c>
    </row>
    <row r="25" customFormat="false" ht="15" hidden="false" customHeight="true" outlineLevel="0" collapsed="false">
      <c r="A25" s="20" t="s">
        <v>485</v>
      </c>
      <c r="B25" s="24" t="n">
        <v>400000</v>
      </c>
      <c r="C25" s="24" t="n">
        <f aca="false">B25-4500000/12</f>
        <v>25000</v>
      </c>
    </row>
    <row r="26" customFormat="false" ht="15" hidden="false" customHeight="true" outlineLevel="0" collapsed="false">
      <c r="A26" s="20" t="s">
        <v>486</v>
      </c>
      <c r="B26" s="24" t="n">
        <v>600000</v>
      </c>
      <c r="C26" s="24" t="n">
        <f aca="false">B26-4500000/12</f>
        <v>225000</v>
      </c>
    </row>
    <row r="27" customFormat="false" ht="15" hidden="false" customHeight="true" outlineLevel="0" collapsed="false">
      <c r="A27" s="20" t="s">
        <v>487</v>
      </c>
      <c r="B27" s="20" t="s">
        <v>488</v>
      </c>
    </row>
    <row r="28" customFormat="false" ht="15" hidden="false" customHeight="true" outlineLevel="0" collapsed="false">
      <c r="A28" s="20" t="s">
        <v>489</v>
      </c>
      <c r="B28" s="51" t="s">
        <v>490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00"/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0" width="18"/>
    <col collapsed="false" customWidth="true" hidden="false" outlineLevel="0" max="2" min="2" style="20" width="20"/>
    <col collapsed="false" customWidth="true" hidden="false" outlineLevel="0" max="4" min="3" style="20" width="12"/>
    <col collapsed="false" customWidth="true" hidden="false" outlineLevel="0" max="5" min="5" style="20" width="14"/>
    <col collapsed="false" customWidth="true" hidden="false" outlineLevel="0" max="7" min="6" style="20" width="12"/>
  </cols>
  <sheetData>
    <row r="1" customFormat="false" ht="26.25" hidden="false" customHeight="true" outlineLevel="0" collapsed="false">
      <c r="A1" s="21" t="s">
        <v>493</v>
      </c>
      <c r="B1" s="21" t="s">
        <v>87</v>
      </c>
      <c r="C1" s="21" t="s">
        <v>494</v>
      </c>
      <c r="D1" s="21" t="s">
        <v>495</v>
      </c>
      <c r="E1" s="21" t="s">
        <v>496</v>
      </c>
      <c r="F1" s="21" t="s">
        <v>497</v>
      </c>
      <c r="G1" s="21" t="s">
        <v>498</v>
      </c>
    </row>
    <row r="2" customFormat="false" ht="15" hidden="false" customHeight="true" outlineLevel="0" collapsed="false">
      <c r="A2" s="20" t="s">
        <v>499</v>
      </c>
      <c r="B2" s="20" t="s">
        <v>500</v>
      </c>
      <c r="C2" s="33" t="n">
        <v>85</v>
      </c>
      <c r="D2" s="33" t="n">
        <v>21</v>
      </c>
      <c r="E2" s="33" t="n">
        <v>15</v>
      </c>
      <c r="F2" s="20" t="s">
        <v>501</v>
      </c>
      <c r="G2" s="20" t="s">
        <v>502</v>
      </c>
    </row>
    <row r="3" customFormat="false" ht="15" hidden="false" customHeight="true" outlineLevel="0" collapsed="false">
      <c r="A3" s="20" t="s">
        <v>499</v>
      </c>
      <c r="B3" s="20" t="s">
        <v>503</v>
      </c>
      <c r="C3" s="33" t="n">
        <v>85</v>
      </c>
      <c r="D3" s="33" t="n">
        <v>44</v>
      </c>
      <c r="E3" s="33" t="n">
        <v>8</v>
      </c>
      <c r="F3" s="20" t="s">
        <v>501</v>
      </c>
      <c r="G3" s="20" t="s">
        <v>502</v>
      </c>
    </row>
    <row r="4" customFormat="false" ht="15" hidden="false" customHeight="true" outlineLevel="0" collapsed="false">
      <c r="A4" s="20" t="s">
        <v>499</v>
      </c>
      <c r="B4" s="20" t="s">
        <v>504</v>
      </c>
      <c r="C4" s="33" t="n">
        <v>60</v>
      </c>
      <c r="D4" s="33" t="n">
        <v>18</v>
      </c>
      <c r="E4" s="33" t="n">
        <v>12</v>
      </c>
      <c r="F4" s="20" t="s">
        <v>501</v>
      </c>
      <c r="G4" s="20" t="s">
        <v>502</v>
      </c>
    </row>
    <row r="5" customFormat="false" ht="15" hidden="false" customHeight="true" outlineLevel="0" collapsed="false">
      <c r="A5" s="20" t="s">
        <v>499</v>
      </c>
      <c r="B5" s="20" t="s">
        <v>505</v>
      </c>
      <c r="C5" s="33" t="n">
        <v>75</v>
      </c>
      <c r="D5" s="33" t="n">
        <v>8</v>
      </c>
      <c r="E5" s="33" t="n">
        <v>17</v>
      </c>
      <c r="F5" s="20" t="s">
        <v>506</v>
      </c>
      <c r="G5" s="20" t="s">
        <v>507</v>
      </c>
    </row>
    <row r="6" customFormat="false" ht="15" hidden="false" customHeight="true" outlineLevel="0" collapsed="false">
      <c r="A6" s="20" t="s">
        <v>508</v>
      </c>
      <c r="B6" s="20" t="s">
        <v>509</v>
      </c>
      <c r="C6" s="33" t="n">
        <v>70</v>
      </c>
      <c r="D6" s="33" t="n">
        <v>18</v>
      </c>
      <c r="E6" s="33" t="n">
        <v>12</v>
      </c>
      <c r="F6" s="20" t="s">
        <v>501</v>
      </c>
      <c r="G6" s="20" t="s">
        <v>502</v>
      </c>
    </row>
    <row r="7" customFormat="false" ht="15" hidden="false" customHeight="true" outlineLevel="0" collapsed="false">
      <c r="A7" s="20" t="s">
        <v>508</v>
      </c>
      <c r="B7" s="20" t="s">
        <v>510</v>
      </c>
      <c r="C7" s="33" t="n">
        <v>80</v>
      </c>
      <c r="D7" s="33" t="n">
        <v>40</v>
      </c>
      <c r="E7" s="33" t="n">
        <v>8</v>
      </c>
      <c r="F7" s="20" t="s">
        <v>501</v>
      </c>
      <c r="G7" s="20" t="s">
        <v>502</v>
      </c>
    </row>
    <row r="8" customFormat="false" ht="15" hidden="false" customHeight="true" outlineLevel="0" collapsed="false">
      <c r="A8" s="20" t="s">
        <v>508</v>
      </c>
      <c r="B8" s="20" t="s">
        <v>504</v>
      </c>
      <c r="C8" s="33" t="n">
        <v>65</v>
      </c>
      <c r="D8" s="33" t="n">
        <v>16</v>
      </c>
      <c r="E8" s="33" t="n">
        <v>10</v>
      </c>
      <c r="F8" s="20" t="s">
        <v>501</v>
      </c>
      <c r="G8" s="20" t="s">
        <v>502</v>
      </c>
    </row>
    <row r="9" customFormat="false" ht="15" hidden="false" customHeight="true" outlineLevel="0" collapsed="false">
      <c r="A9" s="20" t="s">
        <v>508</v>
      </c>
      <c r="B9" s="20" t="s">
        <v>505</v>
      </c>
      <c r="C9" s="33" t="n">
        <v>70</v>
      </c>
      <c r="D9" s="33" t="n">
        <v>8</v>
      </c>
      <c r="E9" s="33" t="n">
        <v>15</v>
      </c>
      <c r="F9" s="20" t="s">
        <v>506</v>
      </c>
      <c r="G9" s="20" t="s">
        <v>507</v>
      </c>
    </row>
    <row r="10" customFormat="false" ht="15" hidden="false" customHeight="true" outlineLevel="0" collapsed="false">
      <c r="A10" s="20" t="s">
        <v>511</v>
      </c>
      <c r="B10" s="20" t="s">
        <v>509</v>
      </c>
      <c r="C10" s="33" t="n">
        <v>70</v>
      </c>
      <c r="D10" s="33" t="n">
        <v>17</v>
      </c>
      <c r="E10" s="33" t="n">
        <v>13</v>
      </c>
      <c r="F10" s="20" t="s">
        <v>501</v>
      </c>
      <c r="G10" s="20" t="s">
        <v>502</v>
      </c>
    </row>
    <row r="11" customFormat="false" ht="15" hidden="false" customHeight="true" outlineLevel="0" collapsed="false">
      <c r="A11" s="20" t="s">
        <v>511</v>
      </c>
      <c r="B11" s="20" t="s">
        <v>510</v>
      </c>
      <c r="C11" s="33" t="n">
        <v>75</v>
      </c>
      <c r="D11" s="33" t="n">
        <v>38</v>
      </c>
      <c r="E11" s="33" t="n">
        <v>10</v>
      </c>
      <c r="F11" s="20" t="s">
        <v>501</v>
      </c>
      <c r="G11" s="20" t="s">
        <v>502</v>
      </c>
    </row>
    <row r="12" customFormat="false" ht="15" hidden="false" customHeight="true" outlineLevel="0" collapsed="false">
      <c r="A12" s="20" t="s">
        <v>511</v>
      </c>
      <c r="B12" s="20" t="s">
        <v>504</v>
      </c>
      <c r="C12" s="33" t="n">
        <v>60</v>
      </c>
      <c r="D12" s="33" t="n">
        <v>15</v>
      </c>
      <c r="E12" s="33" t="n">
        <v>12</v>
      </c>
      <c r="F12" s="20" t="s">
        <v>501</v>
      </c>
      <c r="G12" s="20" t="s">
        <v>502</v>
      </c>
    </row>
    <row r="13" customFormat="false" ht="15" hidden="false" customHeight="true" outlineLevel="0" collapsed="false">
      <c r="A13" s="20" t="s">
        <v>511</v>
      </c>
      <c r="B13" s="20" t="s">
        <v>505</v>
      </c>
      <c r="C13" s="33" t="n">
        <v>68</v>
      </c>
      <c r="D13" s="33" t="n">
        <v>7</v>
      </c>
      <c r="E13" s="33" t="n">
        <v>16</v>
      </c>
      <c r="F13" s="20" t="s">
        <v>506</v>
      </c>
      <c r="G13" s="20" t="s">
        <v>507</v>
      </c>
    </row>
    <row r="14" customFormat="false" ht="15" hidden="false" customHeight="true" outlineLevel="0" collapsed="false">
      <c r="A14" s="20" t="s">
        <v>512</v>
      </c>
      <c r="B14" s="20" t="s">
        <v>509</v>
      </c>
      <c r="C14" s="33" t="n">
        <v>75</v>
      </c>
      <c r="D14" s="33" t="n">
        <v>18</v>
      </c>
      <c r="E14" s="33" t="n">
        <v>10</v>
      </c>
      <c r="F14" s="20" t="s">
        <v>501</v>
      </c>
      <c r="G14" s="20" t="s">
        <v>502</v>
      </c>
    </row>
    <row r="15" customFormat="false" ht="15" hidden="false" customHeight="true" outlineLevel="0" collapsed="false">
      <c r="A15" s="20" t="s">
        <v>512</v>
      </c>
      <c r="B15" s="20" t="s">
        <v>510</v>
      </c>
      <c r="C15" s="33" t="n">
        <v>80</v>
      </c>
      <c r="D15" s="33" t="n">
        <v>42</v>
      </c>
      <c r="E15" s="33" t="n">
        <v>8</v>
      </c>
      <c r="F15" s="20" t="s">
        <v>501</v>
      </c>
      <c r="G15" s="20" t="s">
        <v>502</v>
      </c>
    </row>
    <row r="16" customFormat="false" ht="15" hidden="false" customHeight="true" outlineLevel="0" collapsed="false">
      <c r="A16" s="20" t="s">
        <v>512</v>
      </c>
      <c r="B16" s="20" t="s">
        <v>504</v>
      </c>
      <c r="C16" s="33" t="n">
        <v>65</v>
      </c>
      <c r="D16" s="33" t="n">
        <v>17</v>
      </c>
      <c r="E16" s="33" t="n">
        <v>10</v>
      </c>
      <c r="F16" s="20" t="s">
        <v>501</v>
      </c>
      <c r="G16" s="20" t="s">
        <v>502</v>
      </c>
    </row>
    <row r="17" customFormat="false" ht="15" hidden="false" customHeight="true" outlineLevel="0" collapsed="false">
      <c r="A17" s="20" t="s">
        <v>512</v>
      </c>
      <c r="B17" s="20" t="s">
        <v>505</v>
      </c>
      <c r="C17" s="33" t="n">
        <v>72</v>
      </c>
      <c r="D17" s="33" t="n">
        <v>8</v>
      </c>
      <c r="E17" s="33" t="n">
        <v>14</v>
      </c>
      <c r="F17" s="20" t="s">
        <v>506</v>
      </c>
      <c r="G17" s="20" t="s">
        <v>507</v>
      </c>
    </row>
    <row r="18" customFormat="false" ht="15" hidden="false" customHeight="true" outlineLevel="0" collapsed="false">
      <c r="A18" s="20" t="s">
        <v>513</v>
      </c>
      <c r="B18" s="20" t="s">
        <v>514</v>
      </c>
      <c r="C18" s="33" t="n">
        <v>70</v>
      </c>
      <c r="D18" s="33" t="n">
        <v>35</v>
      </c>
      <c r="E18" s="33" t="n">
        <v>15</v>
      </c>
      <c r="F18" s="20" t="s">
        <v>514</v>
      </c>
      <c r="G18" s="20" t="s">
        <v>502</v>
      </c>
    </row>
    <row r="19" customFormat="false" ht="15" hidden="false" customHeight="true" outlineLevel="0" collapsed="false">
      <c r="A19" s="20" t="s">
        <v>515</v>
      </c>
      <c r="B19" s="20" t="s">
        <v>516</v>
      </c>
      <c r="C19" s="33" t="n">
        <v>65</v>
      </c>
      <c r="D19" s="33" t="n">
        <v>45</v>
      </c>
      <c r="E19" s="33" t="n">
        <v>12</v>
      </c>
      <c r="F19" s="20" t="s">
        <v>517</v>
      </c>
      <c r="G19" s="20" t="s">
        <v>502</v>
      </c>
    </row>
    <row r="20" customFormat="false" ht="15" hidden="false" customHeight="true" outlineLevel="0" collapsed="false">
      <c r="A20" s="20" t="s">
        <v>518</v>
      </c>
      <c r="B20" s="20" t="s">
        <v>373</v>
      </c>
      <c r="C20" s="33" t="n">
        <v>60</v>
      </c>
      <c r="D20" s="33" t="n">
        <v>40</v>
      </c>
      <c r="E20" s="33" t="n">
        <v>18</v>
      </c>
      <c r="F20" s="20" t="s">
        <v>373</v>
      </c>
      <c r="G20" s="20" t="s">
        <v>502</v>
      </c>
    </row>
    <row r="21" customFormat="false" ht="15" hidden="false" customHeight="true" outlineLevel="0" collapsed="false">
      <c r="A21" s="20" t="s">
        <v>519</v>
      </c>
      <c r="B21" s="20" t="s">
        <v>520</v>
      </c>
      <c r="C21" s="33" t="n">
        <v>20</v>
      </c>
      <c r="D21" s="33" t="n">
        <v>15</v>
      </c>
      <c r="E21" s="33" t="n">
        <v>70</v>
      </c>
      <c r="F21" s="20" t="s">
        <v>521</v>
      </c>
      <c r="G21" s="20" t="s">
        <v>502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6CC"/>
    <pageSetUpPr fitToPage="false"/>
  </sheetPr>
  <dimension ref="A1:L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0" width="12"/>
    <col collapsed="false" customWidth="true" hidden="false" outlineLevel="0" max="3" min="2" style="20" width="18"/>
    <col collapsed="false" customWidth="true" hidden="false" outlineLevel="0" max="7" min="4" style="20" width="16"/>
    <col collapsed="false" customWidth="true" hidden="false" outlineLevel="0" max="8" min="8" style="20" width="18"/>
    <col collapsed="false" customWidth="true" hidden="false" outlineLevel="0" max="9" min="9" style="20" width="16"/>
    <col collapsed="false" customWidth="true" hidden="false" outlineLevel="0" max="10" min="10" style="20" width="14"/>
    <col collapsed="false" customWidth="true" hidden="false" outlineLevel="0" max="11" min="11" style="20" width="18"/>
    <col collapsed="false" customWidth="true" hidden="false" outlineLevel="0" max="12" min="12" style="20" width="20"/>
  </cols>
  <sheetData>
    <row r="1" customFormat="false" ht="26.25" hidden="false" customHeight="true" outlineLevel="0" collapsed="false">
      <c r="A1" s="21" t="s">
        <v>522</v>
      </c>
      <c r="B1" s="21" t="s">
        <v>523</v>
      </c>
      <c r="C1" s="21" t="s">
        <v>112</v>
      </c>
      <c r="D1" s="21" t="s">
        <v>524</v>
      </c>
      <c r="E1" s="21" t="s">
        <v>525</v>
      </c>
      <c r="F1" s="21" t="s">
        <v>526</v>
      </c>
      <c r="G1" s="21" t="s">
        <v>527</v>
      </c>
      <c r="H1" s="21" t="s">
        <v>528</v>
      </c>
      <c r="I1" s="21" t="s">
        <v>529</v>
      </c>
      <c r="J1" s="21" t="s">
        <v>530</v>
      </c>
      <c r="K1" s="21" t="s">
        <v>531</v>
      </c>
      <c r="L1" s="21" t="s">
        <v>532</v>
      </c>
    </row>
    <row r="2" customFormat="false" ht="15" hidden="false" customHeight="true" outlineLevel="0" collapsed="false">
      <c r="A2" s="23" t="n">
        <v>46082</v>
      </c>
      <c r="B2" s="20" t="s">
        <v>533</v>
      </c>
      <c r="C2" s="20" t="s">
        <v>225</v>
      </c>
      <c r="D2" s="43" t="s">
        <v>534</v>
      </c>
      <c r="E2" s="43" t="s">
        <v>533</v>
      </c>
      <c r="F2" s="43" t="s">
        <v>225</v>
      </c>
      <c r="G2" s="43" t="s">
        <v>502</v>
      </c>
      <c r="H2" s="20" t="s">
        <v>142</v>
      </c>
      <c r="I2" s="43" t="s">
        <v>535</v>
      </c>
      <c r="J2" s="23" t="n">
        <v>46083</v>
      </c>
      <c r="K2" s="20" t="str">
        <f aca="false">IF(AND(D2="Yes",E2="Yes",F2="Yes",G2="Yes",I2="Verified"),"YES","NO")</f>
        <v>NO</v>
      </c>
      <c r="L2" s="43"/>
    </row>
    <row r="3" customFormat="false" ht="15" hidden="false" customHeight="true" outlineLevel="0" collapsed="false">
      <c r="A3" s="23" t="n">
        <v>46086</v>
      </c>
      <c r="B3" s="20" t="s">
        <v>536</v>
      </c>
      <c r="C3" s="20" t="s">
        <v>306</v>
      </c>
      <c r="D3" s="43" t="s">
        <v>537</v>
      </c>
      <c r="E3" s="43" t="s">
        <v>536</v>
      </c>
      <c r="F3" s="43" t="s">
        <v>306</v>
      </c>
      <c r="G3" s="43" t="s">
        <v>502</v>
      </c>
      <c r="H3" s="20" t="s">
        <v>142</v>
      </c>
      <c r="I3" s="43" t="s">
        <v>538</v>
      </c>
      <c r="K3" s="20" t="str">
        <f aca="false">IF(AND(D3="Yes",E3="Yes",F3="Yes",G3="Yes",I3="Verified"),"YES","NO")</f>
        <v>NO</v>
      </c>
      <c r="L3" s="43"/>
    </row>
    <row r="4" customFormat="false" ht="15" hidden="false" customHeight="true" outlineLevel="0" collapsed="false">
      <c r="A4" s="23" t="n">
        <v>46089</v>
      </c>
      <c r="B4" s="20" t="s">
        <v>539</v>
      </c>
      <c r="C4" s="20" t="s">
        <v>231</v>
      </c>
      <c r="D4" s="43" t="s">
        <v>540</v>
      </c>
      <c r="E4" s="43" t="s">
        <v>539</v>
      </c>
      <c r="F4" s="43" t="s">
        <v>231</v>
      </c>
      <c r="G4" s="43" t="s">
        <v>502</v>
      </c>
      <c r="H4" s="20" t="s">
        <v>142</v>
      </c>
      <c r="I4" s="43" t="s">
        <v>535</v>
      </c>
      <c r="J4" s="23" t="n">
        <v>46090</v>
      </c>
      <c r="K4" s="20" t="str">
        <f aca="false">IF(AND(D4="Yes",E4="Yes",F4="Yes",G4="Yes",I4="Verified"),"YES","NO")</f>
        <v>NO</v>
      </c>
      <c r="L4" s="43"/>
    </row>
    <row r="5" customFormat="false" ht="15" hidden="false" customHeight="true" outlineLevel="0" collapsed="false">
      <c r="A5" s="23" t="n">
        <v>46093</v>
      </c>
      <c r="B5" s="20" t="s">
        <v>541</v>
      </c>
      <c r="C5" s="20" t="s">
        <v>262</v>
      </c>
      <c r="D5" s="43" t="s">
        <v>542</v>
      </c>
      <c r="E5" s="43" t="s">
        <v>541</v>
      </c>
      <c r="F5" s="43" t="s">
        <v>262</v>
      </c>
      <c r="G5" s="43" t="s">
        <v>543</v>
      </c>
      <c r="H5" s="20" t="s">
        <v>142</v>
      </c>
      <c r="I5" s="43" t="s">
        <v>544</v>
      </c>
      <c r="J5" s="23" t="n">
        <v>46094</v>
      </c>
      <c r="K5" s="20" t="str">
        <f aca="false">IF(AND(D5="Yes",E5="Yes",F5="Yes",G5="Yes",I5="Verified"),"YES","NO")</f>
        <v>NO</v>
      </c>
      <c r="L5" s="43"/>
    </row>
    <row r="6" customFormat="false" ht="15" hidden="false" customHeight="true" outlineLevel="0" collapsed="false">
      <c r="A6" s="23" t="n">
        <v>46096</v>
      </c>
      <c r="B6" s="20" t="s">
        <v>545</v>
      </c>
      <c r="C6" s="20" t="s">
        <v>241</v>
      </c>
      <c r="D6" s="43" t="s">
        <v>546</v>
      </c>
      <c r="E6" s="43" t="s">
        <v>545</v>
      </c>
      <c r="F6" s="43" t="s">
        <v>241</v>
      </c>
      <c r="G6" s="43" t="s">
        <v>502</v>
      </c>
      <c r="H6" s="20" t="s">
        <v>142</v>
      </c>
      <c r="I6" s="43" t="s">
        <v>535</v>
      </c>
      <c r="J6" s="23" t="n">
        <v>46097</v>
      </c>
      <c r="K6" s="20" t="str">
        <f aca="false">IF(AND(D6="Yes",E6="Yes",F6="Yes",G6="Yes",I6="Verified"),"YES","NO")</f>
        <v>NO</v>
      </c>
      <c r="L6" s="43"/>
    </row>
  </sheetData>
  <dataValidations count="25">
    <dataValidation allowBlank="true" error="Please select from list" errorStyle="stop" errorTitle="Invalid Entry" operator="between" showDropDown="false" showErrorMessage="false" showInputMessage="false" sqref="D2" type="list">
      <formula1>"Yes,No,Partial"</formula1>
      <formula2>0</formula2>
    </dataValidation>
    <dataValidation allowBlank="true" error="Please select from list" errorStyle="stop" errorTitle="Invalid Entry" operator="between" showDropDown="false" showErrorMessage="false" showInputMessage="false" sqref="E2" type="list">
      <formula1>"Yes,No,Partial"</formula1>
      <formula2>0</formula2>
    </dataValidation>
    <dataValidation allowBlank="true" error="Please select from list" errorStyle="stop" errorTitle="Invalid Entry" operator="between" showDropDown="false" showErrorMessage="false" showInputMessage="false" sqref="F2" type="list">
      <formula1>"Yes,No,Partial"</formula1>
      <formula2>0</formula2>
    </dataValidation>
    <dataValidation allowBlank="true" error="Please select from list" errorStyle="stop" errorTitle="Invalid Entry" operator="between" showDropDown="false" showErrorMessage="false" showInputMessage="false" sqref="G2" type="list">
      <formula1>"Yes,No,Partial"</formula1>
      <formula2>0</formula2>
    </dataValidation>
    <dataValidation allowBlank="true" error="Please select from list" errorStyle="stop" errorTitle="Invalid Entry" operator="between" showDropDown="false" showErrorMessage="false" showInputMessage="false" sqref="I2" type="list">
      <formula1>"Verified,Rejected,Pending"</formula1>
      <formula2>0</formula2>
    </dataValidation>
    <dataValidation allowBlank="true" error="Please select from list" errorStyle="stop" errorTitle="Invalid Entry" operator="between" showDropDown="false" showErrorMessage="false" showInputMessage="false" sqref="D3" type="list">
      <formula1>"Yes,No,Partial"</formula1>
      <formula2>0</formula2>
    </dataValidation>
    <dataValidation allowBlank="true" error="Please select from list" errorStyle="stop" errorTitle="Invalid Entry" operator="between" showDropDown="false" showErrorMessage="false" showInputMessage="false" sqref="E3" type="list">
      <formula1>"Yes,No,Partial"</formula1>
      <formula2>0</formula2>
    </dataValidation>
    <dataValidation allowBlank="true" error="Please select from list" errorStyle="stop" errorTitle="Invalid Entry" operator="between" showDropDown="false" showErrorMessage="false" showInputMessage="false" sqref="F3" type="list">
      <formula1>"Yes,No,Partial"</formula1>
      <formula2>0</formula2>
    </dataValidation>
    <dataValidation allowBlank="true" error="Please select from list" errorStyle="stop" errorTitle="Invalid Entry" operator="between" showDropDown="false" showErrorMessage="false" showInputMessage="false" sqref="G3" type="list">
      <formula1>"Yes,No,Partial"</formula1>
      <formula2>0</formula2>
    </dataValidation>
    <dataValidation allowBlank="true" error="Please select from list" errorStyle="stop" errorTitle="Invalid Entry" operator="between" showDropDown="false" showErrorMessage="false" showInputMessage="false" sqref="I3" type="list">
      <formula1>"Verified,Rejected,Pending"</formula1>
      <formula2>0</formula2>
    </dataValidation>
    <dataValidation allowBlank="true" error="Please select from list" errorStyle="stop" errorTitle="Invalid Entry" operator="between" showDropDown="false" showErrorMessage="false" showInputMessage="false" sqref="D4" type="list">
      <formula1>"Yes,No,Partial"</formula1>
      <formula2>0</formula2>
    </dataValidation>
    <dataValidation allowBlank="true" error="Please select from list" errorStyle="stop" errorTitle="Invalid Entry" operator="between" showDropDown="false" showErrorMessage="false" showInputMessage="false" sqref="E4" type="list">
      <formula1>"Yes,No,Partial"</formula1>
      <formula2>0</formula2>
    </dataValidation>
    <dataValidation allowBlank="true" error="Please select from list" errorStyle="stop" errorTitle="Invalid Entry" operator="between" showDropDown="false" showErrorMessage="false" showInputMessage="false" sqref="F4" type="list">
      <formula1>"Yes,No,Partial"</formula1>
      <formula2>0</formula2>
    </dataValidation>
    <dataValidation allowBlank="true" error="Please select from list" errorStyle="stop" errorTitle="Invalid Entry" operator="between" showDropDown="false" showErrorMessage="false" showInputMessage="false" sqref="G4" type="list">
      <formula1>"Yes,No,Partial"</formula1>
      <formula2>0</formula2>
    </dataValidation>
    <dataValidation allowBlank="true" error="Please select from list" errorStyle="stop" errorTitle="Invalid Entry" operator="between" showDropDown="false" showErrorMessage="false" showInputMessage="false" sqref="I4" type="list">
      <formula1>"Verified,Rejected,Pending"</formula1>
      <formula2>0</formula2>
    </dataValidation>
    <dataValidation allowBlank="true" error="Please select from list" errorStyle="stop" errorTitle="Invalid Entry" operator="between" showDropDown="false" showErrorMessage="false" showInputMessage="false" sqref="D5" type="list">
      <formula1>"Yes,No,Partial"</formula1>
      <formula2>0</formula2>
    </dataValidation>
    <dataValidation allowBlank="true" error="Please select from list" errorStyle="stop" errorTitle="Invalid Entry" operator="between" showDropDown="false" showErrorMessage="false" showInputMessage="false" sqref="E5" type="list">
      <formula1>"Yes,No,Partial"</formula1>
      <formula2>0</formula2>
    </dataValidation>
    <dataValidation allowBlank="true" error="Please select from list" errorStyle="stop" errorTitle="Invalid Entry" operator="between" showDropDown="false" showErrorMessage="false" showInputMessage="false" sqref="F5" type="list">
      <formula1>"Yes,No,Partial"</formula1>
      <formula2>0</formula2>
    </dataValidation>
    <dataValidation allowBlank="true" error="Please select from list" errorStyle="stop" errorTitle="Invalid Entry" operator="between" showDropDown="false" showErrorMessage="false" showInputMessage="false" sqref="G5" type="list">
      <formula1>"Yes,No,Partial"</formula1>
      <formula2>0</formula2>
    </dataValidation>
    <dataValidation allowBlank="true" error="Please select from list" errorStyle="stop" errorTitle="Invalid Entry" operator="between" showDropDown="false" showErrorMessage="false" showInputMessage="false" sqref="I5" type="list">
      <formula1>"Verified,Rejected,Pending"</formula1>
      <formula2>0</formula2>
    </dataValidation>
    <dataValidation allowBlank="true" error="Please select from list" errorStyle="stop" errorTitle="Invalid Entry" operator="between" showDropDown="false" showErrorMessage="false" showInputMessage="false" sqref="D6" type="list">
      <formula1>"Yes,No,Partial"</formula1>
      <formula2>0</formula2>
    </dataValidation>
    <dataValidation allowBlank="true" error="Please select from list" errorStyle="stop" errorTitle="Invalid Entry" operator="between" showDropDown="false" showErrorMessage="false" showInputMessage="false" sqref="E6" type="list">
      <formula1>"Yes,No,Partial"</formula1>
      <formula2>0</formula2>
    </dataValidation>
    <dataValidation allowBlank="true" error="Please select from list" errorStyle="stop" errorTitle="Invalid Entry" operator="between" showDropDown="false" showErrorMessage="false" showInputMessage="false" sqref="F6" type="list">
      <formula1>"Yes,No,Partial"</formula1>
      <formula2>0</formula2>
    </dataValidation>
    <dataValidation allowBlank="true" error="Please select from list" errorStyle="stop" errorTitle="Invalid Entry" operator="between" showDropDown="false" showErrorMessage="false" showInputMessage="false" sqref="G6" type="list">
      <formula1>"Yes,No,Partial"</formula1>
      <formula2>0</formula2>
    </dataValidation>
    <dataValidation allowBlank="true" error="Please select from list" errorStyle="stop" errorTitle="Invalid Entry" operator="between" showDropDown="false" showErrorMessage="false" showInputMessage="false" sqref="I6" type="list">
      <formula1>"Verified,Rejected,Pending"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3300"/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0" width="22"/>
    <col collapsed="false" customWidth="true" hidden="false" outlineLevel="0" max="2" min="2" style="20" width="28"/>
    <col collapsed="false" customWidth="true" hidden="false" outlineLevel="0" max="3" min="3" style="20" width="15"/>
    <col collapsed="false" customWidth="true" hidden="false" outlineLevel="0" max="4" min="4" style="20" width="20"/>
    <col collapsed="false" customWidth="true" hidden="false" outlineLevel="0" max="5" min="5" style="20" width="25"/>
  </cols>
  <sheetData>
    <row r="1" customFormat="false" ht="15" hidden="false" customHeight="true" outlineLevel="0" collapsed="false">
      <c r="A1" s="47" t="s">
        <v>547</v>
      </c>
    </row>
    <row r="3" customFormat="false" ht="26.25" hidden="false" customHeight="true" outlineLevel="0" collapsed="false">
      <c r="A3" s="21" t="s">
        <v>158</v>
      </c>
      <c r="B3" s="21" t="s">
        <v>548</v>
      </c>
      <c r="C3" s="21" t="s">
        <v>549</v>
      </c>
      <c r="D3" s="21" t="s">
        <v>550</v>
      </c>
      <c r="E3" s="21" t="s">
        <v>551</v>
      </c>
    </row>
    <row r="4" customFormat="false" ht="15" hidden="false" customHeight="true" outlineLevel="0" collapsed="false">
      <c r="A4" s="20" t="s">
        <v>286</v>
      </c>
      <c r="B4" s="20" t="s">
        <v>552</v>
      </c>
      <c r="C4" s="24" t="n">
        <v>6000</v>
      </c>
      <c r="D4" s="20" t="s">
        <v>553</v>
      </c>
      <c r="E4" s="20" t="s">
        <v>554</v>
      </c>
    </row>
    <row r="5" customFormat="false" ht="15" hidden="false" customHeight="true" outlineLevel="0" collapsed="false">
      <c r="A5" s="20" t="s">
        <v>187</v>
      </c>
      <c r="B5" s="20" t="s">
        <v>555</v>
      </c>
      <c r="C5" s="24" t="n">
        <v>22000</v>
      </c>
      <c r="D5" s="20" t="s">
        <v>556</v>
      </c>
      <c r="E5" s="20" t="s">
        <v>557</v>
      </c>
    </row>
    <row r="6" customFormat="false" ht="15" hidden="false" customHeight="true" outlineLevel="0" collapsed="false">
      <c r="A6" s="20" t="s">
        <v>558</v>
      </c>
      <c r="B6" s="20" t="s">
        <v>559</v>
      </c>
      <c r="C6" s="24" t="n">
        <v>35000</v>
      </c>
      <c r="D6" s="20" t="s">
        <v>560</v>
      </c>
      <c r="E6" s="20" t="s">
        <v>561</v>
      </c>
    </row>
    <row r="7" customFormat="false" ht="15" hidden="false" customHeight="true" outlineLevel="0" collapsed="false">
      <c r="A7" s="20" t="s">
        <v>195</v>
      </c>
      <c r="B7" s="20" t="s">
        <v>562</v>
      </c>
      <c r="C7" s="24" t="n">
        <v>50000</v>
      </c>
      <c r="D7" s="20" t="s">
        <v>563</v>
      </c>
      <c r="E7" s="20" t="s">
        <v>564</v>
      </c>
    </row>
    <row r="8" customFormat="false" ht="15" hidden="false" customHeight="true" outlineLevel="0" collapsed="false">
      <c r="A8" s="20" t="s">
        <v>214</v>
      </c>
      <c r="B8" s="20" t="s">
        <v>565</v>
      </c>
      <c r="C8" s="24" t="n">
        <v>80000</v>
      </c>
      <c r="D8" s="20" t="s">
        <v>566</v>
      </c>
      <c r="E8" s="20" t="s">
        <v>567</v>
      </c>
    </row>
    <row r="9" customFormat="false" ht="15" hidden="false" customHeight="true" outlineLevel="0" collapsed="false">
      <c r="A9" s="20" t="s">
        <v>568</v>
      </c>
      <c r="B9" s="20" t="s">
        <v>569</v>
      </c>
      <c r="C9" s="24" t="n">
        <v>120000</v>
      </c>
      <c r="D9" s="20" t="s">
        <v>570</v>
      </c>
      <c r="E9" s="20" t="s">
        <v>571</v>
      </c>
    </row>
    <row r="10" customFormat="false" ht="15" hidden="false" customHeight="true" outlineLevel="0" collapsed="false">
      <c r="A10" s="20" t="s">
        <v>291</v>
      </c>
      <c r="B10" s="20" t="s">
        <v>572</v>
      </c>
      <c r="C10" s="24" t="n">
        <v>150000</v>
      </c>
      <c r="D10" s="20" t="s">
        <v>573</v>
      </c>
      <c r="E10" s="20" t="s">
        <v>574</v>
      </c>
    </row>
    <row r="11" customFormat="false" ht="15" hidden="false" customHeight="true" outlineLevel="0" collapsed="false">
      <c r="A11" s="20" t="s">
        <v>575</v>
      </c>
      <c r="B11" s="20" t="s">
        <v>569</v>
      </c>
      <c r="C11" s="24" t="n">
        <v>200000</v>
      </c>
      <c r="D11" s="20" t="s">
        <v>576</v>
      </c>
      <c r="E11" s="20" t="s">
        <v>577</v>
      </c>
    </row>
    <row r="12" customFormat="false" ht="15" hidden="false" customHeight="true" outlineLevel="0" collapsed="false">
      <c r="A12" s="20" t="s">
        <v>578</v>
      </c>
      <c r="B12" s="20" t="s">
        <v>579</v>
      </c>
      <c r="C12" s="24" t="n">
        <v>100000</v>
      </c>
      <c r="D12" s="20" t="s">
        <v>580</v>
      </c>
      <c r="E12" s="20" t="s">
        <v>581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9900"/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0" width="30"/>
    <col collapsed="false" customWidth="true" hidden="false" outlineLevel="0" max="7" min="2" style="20" width="14"/>
  </cols>
  <sheetData>
    <row r="1" customFormat="false" ht="15" hidden="false" customHeight="true" outlineLevel="0" collapsed="false">
      <c r="A1" s="21" t="s">
        <v>582</v>
      </c>
      <c r="B1" s="21" t="s">
        <v>583</v>
      </c>
      <c r="C1" s="21" t="s">
        <v>584</v>
      </c>
      <c r="D1" s="21" t="s">
        <v>585</v>
      </c>
      <c r="E1" s="21" t="s">
        <v>586</v>
      </c>
      <c r="F1" s="21" t="s">
        <v>587</v>
      </c>
      <c r="G1" s="21" t="s">
        <v>588</v>
      </c>
    </row>
    <row r="2" customFormat="false" ht="15" hidden="false" customHeight="true" outlineLevel="0" collapsed="false">
      <c r="A2" s="48" t="s">
        <v>589</v>
      </c>
      <c r="B2" s="24" t="n">
        <v>25</v>
      </c>
      <c r="C2" s="24" t="n">
        <v>32.5</v>
      </c>
      <c r="D2" s="24" t="n">
        <v>42.25</v>
      </c>
      <c r="E2" s="24" t="n">
        <v>54.92</v>
      </c>
      <c r="F2" s="24" t="n">
        <v>71.4</v>
      </c>
      <c r="G2" s="20" t="s">
        <v>590</v>
      </c>
    </row>
    <row r="3" customFormat="false" ht="15" hidden="false" customHeight="true" outlineLevel="0" collapsed="false">
      <c r="A3" s="48" t="s">
        <v>476</v>
      </c>
      <c r="B3" s="24" t="n">
        <v>65</v>
      </c>
      <c r="C3" s="24" t="n">
        <v>80</v>
      </c>
      <c r="D3" s="24" t="n">
        <v>100</v>
      </c>
      <c r="E3" s="24" t="n">
        <v>120</v>
      </c>
      <c r="F3" s="24" t="n">
        <v>140</v>
      </c>
      <c r="G3" s="20" t="s">
        <v>591</v>
      </c>
    </row>
    <row r="4" customFormat="false" ht="15" hidden="false" customHeight="true" outlineLevel="0" collapsed="false">
      <c r="A4" s="48" t="s">
        <v>592</v>
      </c>
      <c r="B4" s="24" t="n">
        <v>38.5</v>
      </c>
      <c r="C4" s="24" t="n">
        <v>40.6</v>
      </c>
      <c r="D4" s="24" t="n">
        <v>42.3</v>
      </c>
      <c r="E4" s="24" t="n">
        <v>45.8</v>
      </c>
      <c r="F4" s="24" t="n">
        <v>51</v>
      </c>
      <c r="G4" s="20" t="s">
        <v>593</v>
      </c>
    </row>
    <row r="5" customFormat="false" ht="15" hidden="false" customHeight="true" outlineLevel="0" collapsed="false">
      <c r="A5" s="48" t="s">
        <v>594</v>
      </c>
      <c r="B5" s="24" t="n">
        <v>8</v>
      </c>
      <c r="C5" s="24" t="n">
        <v>10.5</v>
      </c>
      <c r="D5" s="24" t="n">
        <v>13.8</v>
      </c>
      <c r="E5" s="24" t="n">
        <v>17.9</v>
      </c>
      <c r="F5" s="24" t="n">
        <v>23.3</v>
      </c>
      <c r="G5" s="20" t="s">
        <v>595</v>
      </c>
    </row>
    <row r="6" customFormat="false" ht="15" hidden="false" customHeight="true" outlineLevel="0" collapsed="false">
      <c r="A6" s="48" t="s">
        <v>596</v>
      </c>
      <c r="B6" s="24" t="n">
        <v>15</v>
      </c>
      <c r="C6" s="24" t="n">
        <v>14.5</v>
      </c>
      <c r="D6" s="24" t="n">
        <v>14</v>
      </c>
      <c r="E6" s="24" t="n">
        <v>13.5</v>
      </c>
      <c r="F6" s="24" t="n">
        <v>13</v>
      </c>
      <c r="G6" s="20" t="s">
        <v>597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66666"/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0" width="22"/>
    <col collapsed="false" customWidth="true" hidden="false" outlineLevel="0" max="2" min="2" style="20" width="28"/>
    <col collapsed="false" customWidth="true" hidden="false" outlineLevel="0" max="3" min="3" style="20" width="15"/>
    <col collapsed="false" customWidth="true" hidden="false" outlineLevel="0" max="4" min="4" style="20" width="20"/>
    <col collapsed="false" customWidth="true" hidden="false" outlineLevel="0" max="5" min="5" style="20" width="25"/>
  </cols>
  <sheetData>
    <row r="1" customFormat="false" ht="15" hidden="false" customHeight="true" outlineLevel="0" collapsed="false">
      <c r="A1" s="47" t="s">
        <v>598</v>
      </c>
    </row>
    <row r="3" customFormat="false" ht="26.25" hidden="false" customHeight="true" outlineLevel="0" collapsed="false">
      <c r="A3" s="21" t="s">
        <v>599</v>
      </c>
      <c r="B3" s="21" t="s">
        <v>600</v>
      </c>
      <c r="C3" s="21" t="s">
        <v>601</v>
      </c>
      <c r="D3" s="21" t="s">
        <v>602</v>
      </c>
    </row>
    <row r="4" customFormat="false" ht="15" hidden="false" customHeight="true" outlineLevel="0" collapsed="false">
      <c r="A4" s="20" t="s">
        <v>603</v>
      </c>
      <c r="B4" s="20" t="s">
        <v>604</v>
      </c>
      <c r="C4" s="20" t="s">
        <v>604</v>
      </c>
      <c r="D4" s="20" t="s">
        <v>605</v>
      </c>
    </row>
    <row r="5" customFormat="false" ht="15" hidden="false" customHeight="true" outlineLevel="0" collapsed="false">
      <c r="A5" s="20" t="s">
        <v>606</v>
      </c>
      <c r="B5" s="20" t="s">
        <v>607</v>
      </c>
      <c r="C5" s="20" t="s">
        <v>608</v>
      </c>
      <c r="D5" s="20" t="s">
        <v>502</v>
      </c>
    </row>
    <row r="6" customFormat="false" ht="15" hidden="false" customHeight="true" outlineLevel="0" collapsed="false">
      <c r="A6" s="20" t="s">
        <v>205</v>
      </c>
      <c r="B6" s="20" t="s">
        <v>609</v>
      </c>
      <c r="C6" s="20" t="s">
        <v>610</v>
      </c>
      <c r="D6" s="20" t="s">
        <v>502</v>
      </c>
    </row>
    <row r="7" customFormat="false" ht="15" hidden="false" customHeight="true" outlineLevel="0" collapsed="false">
      <c r="A7" s="20" t="s">
        <v>245</v>
      </c>
      <c r="B7" s="20" t="s">
        <v>611</v>
      </c>
      <c r="C7" s="20" t="s">
        <v>612</v>
      </c>
      <c r="D7" s="20" t="s">
        <v>613</v>
      </c>
    </row>
    <row r="8" customFormat="false" ht="15" hidden="false" customHeight="true" outlineLevel="0" collapsed="false">
      <c r="A8" s="20" t="s">
        <v>555</v>
      </c>
      <c r="B8" s="20" t="s">
        <v>614</v>
      </c>
      <c r="C8" s="20" t="s">
        <v>615</v>
      </c>
      <c r="D8" s="20" t="s">
        <v>507</v>
      </c>
    </row>
    <row r="9" customFormat="false" ht="15" hidden="false" customHeight="true" outlineLevel="0" collapsed="false">
      <c r="A9" s="20" t="s">
        <v>616</v>
      </c>
      <c r="B9" s="20" t="s">
        <v>617</v>
      </c>
      <c r="C9" s="20" t="s">
        <v>610</v>
      </c>
      <c r="D9" s="20" t="s">
        <v>507</v>
      </c>
    </row>
    <row r="12" customFormat="false" ht="15" hidden="false" customHeight="true" outlineLevel="0" collapsed="false">
      <c r="A12" s="52" t="s">
        <v>618</v>
      </c>
    </row>
    <row r="13" customFormat="false" ht="26.25" hidden="false" customHeight="true" outlineLevel="0" collapsed="false">
      <c r="A13" s="21" t="s">
        <v>522</v>
      </c>
      <c r="B13" s="21" t="s">
        <v>619</v>
      </c>
      <c r="C13" s="21" t="s">
        <v>620</v>
      </c>
      <c r="D13" s="21" t="s">
        <v>621</v>
      </c>
      <c r="E13" s="21" t="s">
        <v>622</v>
      </c>
      <c r="F13" s="21" t="s">
        <v>623</v>
      </c>
      <c r="G13" s="21" t="s">
        <v>624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0" width="100"/>
    <col collapsed="false" customWidth="true" hidden="false" outlineLevel="0" max="2" min="2" style="20" width="55"/>
    <col collapsed="false" customWidth="true" hidden="false" outlineLevel="0" max="3" min="3" style="20" width="50"/>
  </cols>
  <sheetData>
    <row r="1" customFormat="false" ht="17.25" hidden="false" customHeight="true" outlineLevel="0" collapsed="false">
      <c r="A1" s="53" t="s">
        <v>625</v>
      </c>
      <c r="B1" s="27"/>
      <c r="C1" s="27"/>
    </row>
    <row r="2" customFormat="false" ht="15" hidden="false" customHeight="true" outlineLevel="0" collapsed="false">
      <c r="A2" s="27"/>
      <c r="B2" s="27"/>
      <c r="C2" s="27"/>
    </row>
    <row r="3" customFormat="false" ht="15" hidden="false" customHeight="true" outlineLevel="0" collapsed="false">
      <c r="A3" s="54" t="s">
        <v>626</v>
      </c>
      <c r="B3" s="27"/>
      <c r="C3" s="27"/>
    </row>
    <row r="4" customFormat="false" ht="15" hidden="false" customHeight="true" outlineLevel="0" collapsed="false">
      <c r="A4" s="55" t="s">
        <v>366</v>
      </c>
      <c r="B4" s="55" t="s">
        <v>627</v>
      </c>
      <c r="C4" s="55" t="s">
        <v>132</v>
      </c>
    </row>
    <row r="5" customFormat="false" ht="15" hidden="false" customHeight="true" outlineLevel="0" collapsed="false">
      <c r="A5" s="27" t="s">
        <v>628</v>
      </c>
      <c r="B5" s="27" t="s">
        <v>629</v>
      </c>
      <c r="C5" s="27" t="s">
        <v>630</v>
      </c>
    </row>
    <row r="6" customFormat="false" ht="15" hidden="false" customHeight="true" outlineLevel="0" collapsed="false">
      <c r="A6" s="27" t="s">
        <v>631</v>
      </c>
      <c r="B6" s="27" t="s">
        <v>632</v>
      </c>
      <c r="C6" s="27" t="s">
        <v>633</v>
      </c>
    </row>
    <row r="7" customFormat="false" ht="15" hidden="false" customHeight="true" outlineLevel="0" collapsed="false">
      <c r="A7" s="27" t="s">
        <v>634</v>
      </c>
      <c r="B7" s="27" t="s">
        <v>635</v>
      </c>
      <c r="C7" s="27" t="s">
        <v>636</v>
      </c>
    </row>
    <row r="8" customFormat="false" ht="15" hidden="false" customHeight="true" outlineLevel="0" collapsed="false">
      <c r="A8" s="27" t="s">
        <v>637</v>
      </c>
      <c r="B8" s="27" t="s">
        <v>638</v>
      </c>
      <c r="C8" s="27" t="s">
        <v>639</v>
      </c>
    </row>
    <row r="9" customFormat="false" ht="15" hidden="false" customHeight="true" outlineLevel="0" collapsed="false">
      <c r="A9" s="27" t="s">
        <v>640</v>
      </c>
      <c r="B9" s="27" t="s">
        <v>641</v>
      </c>
      <c r="C9" s="27" t="s">
        <v>642</v>
      </c>
    </row>
    <row r="10" customFormat="false" ht="15" hidden="false" customHeight="true" outlineLevel="0" collapsed="false">
      <c r="A10" s="27" t="s">
        <v>643</v>
      </c>
      <c r="B10" s="27" t="s">
        <v>181</v>
      </c>
      <c r="C10" s="27" t="s">
        <v>644</v>
      </c>
    </row>
    <row r="11" customFormat="false" ht="15" hidden="false" customHeight="true" outlineLevel="0" collapsed="false">
      <c r="A11" s="27"/>
      <c r="B11" s="27"/>
      <c r="C11" s="27"/>
    </row>
    <row r="12" customFormat="false" ht="15" hidden="false" customHeight="true" outlineLevel="0" collapsed="false">
      <c r="A12" s="54" t="s">
        <v>645</v>
      </c>
      <c r="B12" s="27"/>
      <c r="C12" s="27"/>
    </row>
    <row r="13" customFormat="false" ht="15" hidden="false" customHeight="true" outlineLevel="0" collapsed="false">
      <c r="A13" s="55" t="s">
        <v>646</v>
      </c>
      <c r="B13" s="55" t="s">
        <v>647</v>
      </c>
      <c r="C13" s="55"/>
    </row>
    <row r="14" customFormat="false" ht="15" hidden="false" customHeight="true" outlineLevel="0" collapsed="false">
      <c r="A14" s="40" t="s">
        <v>648</v>
      </c>
      <c r="B14" s="27" t="s">
        <v>649</v>
      </c>
      <c r="C14" s="27" t="s">
        <v>650</v>
      </c>
    </row>
    <row r="15" customFormat="false" ht="15" hidden="false" customHeight="true" outlineLevel="0" collapsed="false">
      <c r="A15" s="37" t="s">
        <v>651</v>
      </c>
      <c r="B15" s="27" t="s">
        <v>652</v>
      </c>
      <c r="C15" s="27"/>
    </row>
    <row r="16" customFormat="false" ht="15" hidden="false" customHeight="true" outlineLevel="0" collapsed="false">
      <c r="A16" s="37" t="s">
        <v>653</v>
      </c>
      <c r="B16" s="27" t="s">
        <v>654</v>
      </c>
      <c r="C16" s="27"/>
    </row>
    <row r="17" customFormat="false" ht="15" hidden="false" customHeight="true" outlineLevel="0" collapsed="false">
      <c r="A17" s="37" t="s">
        <v>655</v>
      </c>
      <c r="B17" s="27" t="s">
        <v>656</v>
      </c>
      <c r="C17" s="27"/>
    </row>
    <row r="18" customFormat="false" ht="15" hidden="false" customHeight="true" outlineLevel="0" collapsed="false">
      <c r="A18" s="37" t="s">
        <v>657</v>
      </c>
      <c r="B18" s="27" t="s">
        <v>658</v>
      </c>
      <c r="C18" s="27"/>
    </row>
    <row r="19" customFormat="false" ht="15" hidden="false" customHeight="true" outlineLevel="0" collapsed="false">
      <c r="A19" s="27"/>
      <c r="B19" s="27"/>
      <c r="C19" s="27"/>
    </row>
    <row r="20" customFormat="false" ht="15" hidden="false" customHeight="true" outlineLevel="0" collapsed="false">
      <c r="A20" s="56" t="s">
        <v>659</v>
      </c>
      <c r="B20" s="27"/>
      <c r="C20" s="27"/>
    </row>
    <row r="21" customFormat="false" ht="15" hidden="false" customHeight="true" outlineLevel="0" collapsed="false">
      <c r="A21" s="57" t="s">
        <v>660</v>
      </c>
      <c r="B21" s="55" t="s">
        <v>661</v>
      </c>
      <c r="C21" s="55" t="s">
        <v>662</v>
      </c>
    </row>
    <row r="22" customFormat="false" ht="15" hidden="false" customHeight="true" outlineLevel="0" collapsed="false">
      <c r="A22" s="37" t="s">
        <v>663</v>
      </c>
      <c r="B22" s="27" t="s">
        <v>664</v>
      </c>
      <c r="C22" s="27" t="s">
        <v>665</v>
      </c>
    </row>
    <row r="23" customFormat="false" ht="15" hidden="false" customHeight="true" outlineLevel="0" collapsed="false">
      <c r="A23" s="37" t="s">
        <v>666</v>
      </c>
      <c r="B23" s="27" t="s">
        <v>667</v>
      </c>
      <c r="C23" s="27" t="s">
        <v>668</v>
      </c>
    </row>
    <row r="24" customFormat="false" ht="15" hidden="false" customHeight="true" outlineLevel="0" collapsed="false">
      <c r="A24" s="37" t="s">
        <v>669</v>
      </c>
      <c r="B24" s="27" t="s">
        <v>670</v>
      </c>
      <c r="C24" s="27"/>
    </row>
    <row r="25" customFormat="false" ht="15" hidden="false" customHeight="true" outlineLevel="0" collapsed="false">
      <c r="A25" s="27" t="s">
        <v>671</v>
      </c>
      <c r="B25" s="27" t="s">
        <v>672</v>
      </c>
      <c r="C25" s="27"/>
    </row>
    <row r="26" customFormat="false" ht="15" hidden="false" customHeight="true" outlineLevel="0" collapsed="false">
      <c r="A26" s="40" t="s">
        <v>673</v>
      </c>
      <c r="B26" s="27" t="s">
        <v>674</v>
      </c>
      <c r="C26" s="27"/>
    </row>
    <row r="27" customFormat="false" ht="15" hidden="false" customHeight="true" outlineLevel="0" collapsed="false">
      <c r="A27" s="37" t="s">
        <v>675</v>
      </c>
      <c r="B27" s="27" t="s">
        <v>676</v>
      </c>
      <c r="C27" s="27"/>
    </row>
    <row r="28" customFormat="false" ht="15" hidden="false" customHeight="true" outlineLevel="0" collapsed="false">
      <c r="A28" s="37" t="s">
        <v>677</v>
      </c>
      <c r="B28" s="27"/>
      <c r="C28" s="27"/>
    </row>
    <row r="29" customFormat="false" ht="15" hidden="false" customHeight="true" outlineLevel="0" collapsed="false">
      <c r="A29" s="58" t="s">
        <v>678</v>
      </c>
      <c r="B29" s="27"/>
      <c r="C29" s="27"/>
    </row>
    <row r="30" customFormat="false" ht="15" hidden="false" customHeight="true" outlineLevel="0" collapsed="false">
      <c r="A30" s="57" t="s">
        <v>679</v>
      </c>
      <c r="B30" s="55" t="s">
        <v>680</v>
      </c>
      <c r="C30" s="55"/>
    </row>
    <row r="31" customFormat="false" ht="15" hidden="false" customHeight="true" outlineLevel="0" collapsed="false">
      <c r="A31" s="37" t="s">
        <v>681</v>
      </c>
      <c r="B31" s="27" t="s">
        <v>682</v>
      </c>
      <c r="C31" s="27"/>
    </row>
    <row r="32" customFormat="false" ht="15" hidden="false" customHeight="true" outlineLevel="0" collapsed="false">
      <c r="A32" s="37" t="s">
        <v>683</v>
      </c>
      <c r="B32" s="27" t="s">
        <v>684</v>
      </c>
      <c r="C32" s="27"/>
    </row>
    <row r="33" customFormat="false" ht="15" hidden="false" customHeight="true" outlineLevel="0" collapsed="false">
      <c r="A33" s="27" t="s">
        <v>685</v>
      </c>
      <c r="B33" s="27" t="s">
        <v>686</v>
      </c>
      <c r="C33" s="27"/>
    </row>
    <row r="34" customFormat="false" ht="15" hidden="false" customHeight="true" outlineLevel="0" collapsed="false">
      <c r="A34" s="27" t="s">
        <v>687</v>
      </c>
      <c r="B34" s="27" t="s">
        <v>688</v>
      </c>
      <c r="C34" s="27"/>
    </row>
    <row r="35" customFormat="false" ht="15" hidden="false" customHeight="true" outlineLevel="0" collapsed="false">
      <c r="A35" s="27" t="s">
        <v>689</v>
      </c>
      <c r="B35" s="27" t="s">
        <v>690</v>
      </c>
      <c r="C35" s="27"/>
    </row>
    <row r="36" customFormat="false" ht="15" hidden="false" customHeight="true" outlineLevel="0" collapsed="false">
      <c r="A36" s="27" t="s">
        <v>691</v>
      </c>
      <c r="B36" s="27" t="s">
        <v>692</v>
      </c>
      <c r="C36" s="27"/>
    </row>
    <row r="37" customFormat="false" ht="15" hidden="false" customHeight="true" outlineLevel="0" collapsed="false">
      <c r="A37" s="27"/>
      <c r="B37" s="27"/>
      <c r="C37" s="27"/>
    </row>
    <row r="38" customFormat="false" ht="15" hidden="false" customHeight="true" outlineLevel="0" collapsed="false">
      <c r="A38" s="54" t="s">
        <v>693</v>
      </c>
      <c r="B38" s="27"/>
      <c r="C38" s="27"/>
    </row>
    <row r="39" customFormat="false" ht="15" hidden="false" customHeight="true" outlineLevel="0" collapsed="false">
      <c r="A39" s="55" t="s">
        <v>446</v>
      </c>
      <c r="B39" s="55" t="s">
        <v>694</v>
      </c>
      <c r="C39" s="55" t="s">
        <v>695</v>
      </c>
    </row>
    <row r="40" customFormat="false" ht="15" hidden="false" customHeight="true" outlineLevel="0" collapsed="false">
      <c r="A40" s="27" t="s">
        <v>696</v>
      </c>
      <c r="B40" s="27" t="s">
        <v>697</v>
      </c>
      <c r="C40" s="27" t="s">
        <v>698</v>
      </c>
    </row>
    <row r="41" customFormat="false" ht="15" hidden="false" customHeight="true" outlineLevel="0" collapsed="false">
      <c r="A41" s="27" t="s">
        <v>699</v>
      </c>
      <c r="B41" s="27" t="s">
        <v>700</v>
      </c>
      <c r="C41" s="27" t="s">
        <v>698</v>
      </c>
    </row>
    <row r="42" customFormat="false" ht="15" hidden="false" customHeight="true" outlineLevel="0" collapsed="false">
      <c r="A42" s="27" t="s">
        <v>701</v>
      </c>
      <c r="B42" s="27" t="s">
        <v>702</v>
      </c>
      <c r="C42" s="27" t="s">
        <v>698</v>
      </c>
    </row>
    <row r="43" customFormat="false" ht="15" hidden="false" customHeight="true" outlineLevel="0" collapsed="false">
      <c r="A43" s="27" t="s">
        <v>703</v>
      </c>
      <c r="B43" s="27" t="s">
        <v>704</v>
      </c>
      <c r="C43" s="27" t="s">
        <v>698</v>
      </c>
    </row>
    <row r="44" customFormat="false" ht="15" hidden="false" customHeight="true" outlineLevel="0" collapsed="false">
      <c r="A44" s="27" t="s">
        <v>705</v>
      </c>
      <c r="B44" s="27" t="s">
        <v>706</v>
      </c>
      <c r="C44" s="27"/>
    </row>
    <row r="45" customFormat="false" ht="15" hidden="false" customHeight="true" outlineLevel="0" collapsed="false">
      <c r="A45" s="27"/>
      <c r="B45" s="27"/>
      <c r="C45" s="27"/>
    </row>
    <row r="46" customFormat="false" ht="15" hidden="false" customHeight="true" outlineLevel="0" collapsed="false">
      <c r="A46" s="54" t="s">
        <v>707</v>
      </c>
      <c r="B46" s="27"/>
      <c r="C46" s="27"/>
    </row>
    <row r="47" customFormat="false" ht="15" hidden="false" customHeight="true" outlineLevel="0" collapsed="false">
      <c r="A47" s="55" t="s">
        <v>646</v>
      </c>
      <c r="B47" s="55" t="s">
        <v>647</v>
      </c>
      <c r="C47" s="55"/>
    </row>
    <row r="48" customFormat="false" ht="15" hidden="false" customHeight="true" outlineLevel="0" collapsed="false">
      <c r="A48" s="27" t="s">
        <v>708</v>
      </c>
      <c r="B48" s="27" t="s">
        <v>709</v>
      </c>
      <c r="C48" s="27"/>
    </row>
    <row r="49" customFormat="false" ht="15" hidden="false" customHeight="true" outlineLevel="0" collapsed="false">
      <c r="A49" s="27" t="s">
        <v>710</v>
      </c>
      <c r="B49" s="27" t="s">
        <v>711</v>
      </c>
      <c r="C49" s="27"/>
    </row>
    <row r="50" customFormat="false" ht="15" hidden="false" customHeight="true" outlineLevel="0" collapsed="false">
      <c r="A50" s="27" t="s">
        <v>712</v>
      </c>
      <c r="B50" s="27" t="s">
        <v>713</v>
      </c>
      <c r="C50" s="27"/>
    </row>
    <row r="51" customFormat="false" ht="15" hidden="false" customHeight="true" outlineLevel="0" collapsed="false">
      <c r="A51" s="27" t="s">
        <v>714</v>
      </c>
      <c r="B51" s="27" t="s">
        <v>715</v>
      </c>
      <c r="C51" s="27"/>
    </row>
    <row r="52" customFormat="false" ht="15" hidden="false" customHeight="true" outlineLevel="0" collapsed="false">
      <c r="A52" s="27" t="s">
        <v>716</v>
      </c>
      <c r="B52" s="27" t="s">
        <v>717</v>
      </c>
      <c r="C52" s="27"/>
    </row>
    <row r="53" customFormat="false" ht="15" hidden="false" customHeight="true" outlineLevel="0" collapsed="false">
      <c r="A53" s="27" t="s">
        <v>718</v>
      </c>
      <c r="B53" s="27" t="s">
        <v>719</v>
      </c>
      <c r="C53" s="27"/>
    </row>
    <row r="54" customFormat="false" ht="15" hidden="false" customHeight="true" outlineLevel="0" collapsed="false">
      <c r="A54" s="27" t="s">
        <v>720</v>
      </c>
      <c r="B54" s="27" t="s">
        <v>721</v>
      </c>
      <c r="C54" s="27"/>
    </row>
    <row r="55" customFormat="false" ht="15" hidden="false" customHeight="true" outlineLevel="0" collapsed="false">
      <c r="A55" s="27" t="s">
        <v>722</v>
      </c>
      <c r="B55" s="27" t="s">
        <v>723</v>
      </c>
      <c r="C55" s="27"/>
    </row>
    <row r="56" customFormat="false" ht="15" hidden="false" customHeight="true" outlineLevel="0" collapsed="false">
      <c r="A56" s="27"/>
      <c r="B56" s="27"/>
      <c r="C56" s="27"/>
    </row>
    <row r="57" customFormat="false" ht="15" hidden="false" customHeight="true" outlineLevel="0" collapsed="false">
      <c r="A57" s="54" t="s">
        <v>724</v>
      </c>
      <c r="B57" s="27"/>
      <c r="C57" s="27"/>
    </row>
    <row r="58" customFormat="false" ht="15" hidden="false" customHeight="true" outlineLevel="0" collapsed="false">
      <c r="A58" s="55" t="s">
        <v>725</v>
      </c>
      <c r="B58" s="55" t="s">
        <v>726</v>
      </c>
      <c r="C58" s="55"/>
    </row>
    <row r="59" customFormat="false" ht="15" hidden="false" customHeight="true" outlineLevel="0" collapsed="false">
      <c r="A59" s="27" t="s">
        <v>727</v>
      </c>
      <c r="B59" s="27" t="s">
        <v>728</v>
      </c>
      <c r="C59" s="27"/>
    </row>
    <row r="60" customFormat="false" ht="15" hidden="false" customHeight="true" outlineLevel="0" collapsed="false">
      <c r="A60" s="27" t="s">
        <v>729</v>
      </c>
      <c r="B60" s="27" t="s">
        <v>730</v>
      </c>
      <c r="C60" s="27"/>
    </row>
    <row r="61" customFormat="false" ht="15" hidden="false" customHeight="true" outlineLevel="0" collapsed="false">
      <c r="A61" s="27" t="s">
        <v>731</v>
      </c>
      <c r="B61" s="27" t="s">
        <v>732</v>
      </c>
      <c r="C61" s="27"/>
    </row>
    <row r="62" customFormat="false" ht="15" hidden="false" customHeight="true" outlineLevel="0" collapsed="false">
      <c r="A62" s="27" t="s">
        <v>733</v>
      </c>
      <c r="B62" s="27" t="s">
        <v>734</v>
      </c>
      <c r="C62" s="27"/>
    </row>
    <row r="63" customFormat="false" ht="15" hidden="false" customHeight="true" outlineLevel="0" collapsed="false">
      <c r="A63" s="27" t="s">
        <v>735</v>
      </c>
      <c r="B63" s="27" t="s">
        <v>736</v>
      </c>
      <c r="C63" s="27"/>
    </row>
    <row r="64" customFormat="false" ht="15" hidden="false" customHeight="true" outlineLevel="0" collapsed="false">
      <c r="A64" s="27"/>
      <c r="B64" s="27"/>
      <c r="C64" s="27"/>
    </row>
    <row r="65" customFormat="false" ht="15" hidden="false" customHeight="true" outlineLevel="0" collapsed="false">
      <c r="A65" s="27" t="s">
        <v>737</v>
      </c>
      <c r="B65" s="27"/>
      <c r="C65" s="27"/>
    </row>
    <row r="66" customFormat="false" ht="15" hidden="false" customHeight="true" outlineLevel="0" collapsed="false">
      <c r="A66" s="27" t="s">
        <v>738</v>
      </c>
      <c r="B66" s="27"/>
      <c r="C66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0" width="22"/>
    <col collapsed="false" customWidth="true" hidden="false" outlineLevel="0" max="2" min="2" style="20" width="18"/>
    <col collapsed="false" customWidth="true" hidden="false" outlineLevel="0" max="3" min="3" style="20" width="14"/>
    <col collapsed="false" customWidth="true" hidden="false" outlineLevel="0" max="4" min="4" style="20" width="16"/>
    <col collapsed="false" customWidth="true" hidden="false" outlineLevel="0" max="5" min="5" style="20" width="14"/>
    <col collapsed="false" customWidth="true" hidden="false" outlineLevel="0" max="9" min="6" style="20" width="12"/>
    <col collapsed="false" customWidth="true" hidden="false" outlineLevel="0" max="10" min="10" style="20" width="18"/>
  </cols>
  <sheetData>
    <row r="1" customFormat="false" ht="15.75" hidden="false" customHeight="true" outlineLevel="0" collapsed="false">
      <c r="A1" s="59" t="s">
        <v>739</v>
      </c>
      <c r="B1" s="59"/>
      <c r="C1" s="59"/>
      <c r="D1" s="59"/>
      <c r="E1" s="59"/>
      <c r="F1" s="59"/>
      <c r="G1" s="59"/>
      <c r="H1" s="59"/>
      <c r="I1" s="59"/>
      <c r="J1" s="59"/>
    </row>
    <row r="3" customFormat="false" ht="15" hidden="false" customHeight="true" outlineLevel="0" collapsed="false">
      <c r="A3" s="60" t="s">
        <v>740</v>
      </c>
      <c r="B3" s="60"/>
      <c r="C3" s="60"/>
      <c r="D3" s="60"/>
      <c r="E3" s="60"/>
    </row>
    <row r="4" customFormat="false" ht="15" hidden="false" customHeight="true" outlineLevel="0" collapsed="false">
      <c r="A4" s="61" t="s">
        <v>741</v>
      </c>
      <c r="B4" s="61" t="s">
        <v>742</v>
      </c>
      <c r="C4" s="61" t="s">
        <v>132</v>
      </c>
    </row>
    <row r="5" customFormat="false" ht="15" hidden="false" customHeight="true" outlineLevel="0" collapsed="false">
      <c r="A5" s="62" t="s">
        <v>743</v>
      </c>
      <c r="B5" s="62" t="s">
        <v>744</v>
      </c>
      <c r="C5" s="62" t="s">
        <v>745</v>
      </c>
    </row>
    <row r="6" customFormat="false" ht="15" hidden="false" customHeight="true" outlineLevel="0" collapsed="false">
      <c r="A6" s="62" t="s">
        <v>746</v>
      </c>
      <c r="B6" s="63" t="n">
        <v>50</v>
      </c>
      <c r="C6" s="62" t="s">
        <v>747</v>
      </c>
    </row>
    <row r="7" customFormat="false" ht="15" hidden="false" customHeight="true" outlineLevel="0" collapsed="false">
      <c r="A7" s="62" t="s">
        <v>748</v>
      </c>
      <c r="B7" s="63" t="n">
        <v>1000000</v>
      </c>
      <c r="C7" s="62" t="s">
        <v>749</v>
      </c>
    </row>
    <row r="8" customFormat="false" ht="15" hidden="false" customHeight="true" outlineLevel="0" collapsed="false">
      <c r="A8" s="62" t="s">
        <v>750</v>
      </c>
      <c r="B8" s="64" t="n">
        <f aca="false">B7*B5</f>
        <v>50000</v>
      </c>
      <c r="C8" s="62" t="s">
        <v>751</v>
      </c>
    </row>
    <row r="9" customFormat="false" ht="15" hidden="false" customHeight="true" outlineLevel="0" collapsed="false">
      <c r="A9" s="62" t="s">
        <v>752</v>
      </c>
      <c r="B9" s="64" t="n">
        <f aca="false">B6*10000000/B7</f>
        <v>500</v>
      </c>
      <c r="C9" s="62" t="s">
        <v>753</v>
      </c>
    </row>
    <row r="10" customFormat="false" ht="15" hidden="false" customHeight="true" outlineLevel="0" collapsed="false">
      <c r="A10" s="62" t="s">
        <v>754</v>
      </c>
      <c r="B10" s="64" t="s">
        <v>755</v>
      </c>
      <c r="C10" s="62" t="s">
        <v>756</v>
      </c>
    </row>
    <row r="11" customFormat="false" ht="15" hidden="false" customHeight="true" outlineLevel="0" collapsed="false">
      <c r="A11" s="62" t="s">
        <v>757</v>
      </c>
      <c r="B11" s="63" t="s">
        <v>758</v>
      </c>
      <c r="C11" s="62" t="s">
        <v>759</v>
      </c>
    </row>
    <row r="12" customFormat="false" ht="15" hidden="false" customHeight="true" outlineLevel="0" collapsed="false">
      <c r="A12" s="62" t="s">
        <v>760</v>
      </c>
      <c r="B12" s="63" t="s">
        <v>761</v>
      </c>
      <c r="C12" s="62" t="s">
        <v>762</v>
      </c>
    </row>
    <row r="13" customFormat="false" ht="15" hidden="false" customHeight="true" outlineLevel="0" collapsed="false">
      <c r="A13" s="62" t="s">
        <v>763</v>
      </c>
      <c r="B13" s="62" t="s">
        <v>39</v>
      </c>
      <c r="C13" s="62" t="s">
        <v>764</v>
      </c>
    </row>
    <row r="14" customFormat="false" ht="15" hidden="false" customHeight="true" outlineLevel="0" collapsed="false">
      <c r="A14" s="62" t="s">
        <v>765</v>
      </c>
      <c r="B14" s="63" t="s">
        <v>766</v>
      </c>
      <c r="C14" s="62" t="s">
        <v>767</v>
      </c>
    </row>
    <row r="15" customFormat="false" ht="15" hidden="false" customHeight="true" outlineLevel="0" collapsed="false">
      <c r="A15" s="62" t="s">
        <v>768</v>
      </c>
      <c r="B15" s="63" t="s">
        <v>769</v>
      </c>
      <c r="C15" s="62" t="s">
        <v>770</v>
      </c>
    </row>
    <row r="16" customFormat="false" ht="15" hidden="false" customHeight="true" outlineLevel="0" collapsed="false">
      <c r="A16" s="62" t="s">
        <v>771</v>
      </c>
      <c r="B16" s="63" t="s">
        <v>758</v>
      </c>
      <c r="C16" s="62" t="s">
        <v>772</v>
      </c>
    </row>
    <row r="17" customFormat="false" ht="15" hidden="false" customHeight="true" outlineLevel="0" collapsed="false">
      <c r="A17" s="62" t="s">
        <v>773</v>
      </c>
      <c r="B17" s="63" t="s">
        <v>774</v>
      </c>
      <c r="C17" s="62" t="s">
        <v>775</v>
      </c>
    </row>
    <row r="18" customFormat="false" ht="15" hidden="false" customHeight="true" outlineLevel="0" collapsed="false">
      <c r="A18" s="62" t="s">
        <v>776</v>
      </c>
      <c r="B18" s="63" t="s">
        <v>777</v>
      </c>
      <c r="C18" s="62" t="s">
        <v>778</v>
      </c>
    </row>
    <row r="19" customFormat="false" ht="15" hidden="false" customHeight="true" outlineLevel="0" collapsed="false">
      <c r="A19" s="62" t="s">
        <v>779</v>
      </c>
      <c r="B19" s="63" t="s">
        <v>780</v>
      </c>
      <c r="C19" s="62" t="s">
        <v>781</v>
      </c>
    </row>
    <row r="22" customFormat="false" ht="15" hidden="false" customHeight="true" outlineLevel="0" collapsed="false">
      <c r="A22" s="60" t="s">
        <v>782</v>
      </c>
      <c r="B22" s="60"/>
      <c r="C22" s="60"/>
      <c r="D22" s="60"/>
      <c r="E22" s="60"/>
      <c r="F22" s="60"/>
      <c r="G22" s="60"/>
      <c r="H22" s="60"/>
    </row>
    <row r="23" customFormat="false" ht="26.25" hidden="false" customHeight="true" outlineLevel="0" collapsed="false">
      <c r="A23" s="65" t="s">
        <v>446</v>
      </c>
      <c r="B23" s="65" t="s">
        <v>158</v>
      </c>
      <c r="C23" s="65" t="s">
        <v>783</v>
      </c>
      <c r="D23" s="65" t="s">
        <v>784</v>
      </c>
      <c r="E23" s="65" t="s">
        <v>785</v>
      </c>
      <c r="F23" s="65" t="s">
        <v>786</v>
      </c>
      <c r="G23" s="65" t="s">
        <v>787</v>
      </c>
      <c r="H23" s="65" t="s">
        <v>788</v>
      </c>
    </row>
    <row r="24" customFormat="false" ht="15" hidden="false" customHeight="true" outlineLevel="0" collapsed="false">
      <c r="A24" s="62" t="s">
        <v>789</v>
      </c>
      <c r="B24" s="62" t="s">
        <v>790</v>
      </c>
      <c r="C24" s="62" t="s">
        <v>507</v>
      </c>
      <c r="D24" s="62" t="n">
        <v>0</v>
      </c>
      <c r="E24" s="62" t="n">
        <v>0</v>
      </c>
      <c r="F24" s="62" t="n">
        <v>0</v>
      </c>
      <c r="G24" s="62" t="n">
        <v>0</v>
      </c>
      <c r="H24" s="62" t="n">
        <v>0</v>
      </c>
    </row>
    <row r="25" customFormat="false" ht="15" hidden="false" customHeight="true" outlineLevel="0" collapsed="false">
      <c r="A25" s="62" t="s">
        <v>791</v>
      </c>
      <c r="B25" s="62" t="s">
        <v>792</v>
      </c>
      <c r="C25" s="62" t="s">
        <v>502</v>
      </c>
      <c r="D25" s="63" t="n">
        <v>5000</v>
      </c>
      <c r="E25" s="62" t="n">
        <f aca="false">D24*0</f>
        <v>0</v>
      </c>
      <c r="F25" s="62" t="n">
        <f aca="false">D24*0.25</f>
        <v>0</v>
      </c>
      <c r="G25" s="62" t="n">
        <f aca="false">D24*0.25</f>
        <v>0</v>
      </c>
      <c r="H25" s="62" t="n">
        <f aca="false">D24*0.25</f>
        <v>0</v>
      </c>
    </row>
    <row r="26" customFormat="false" ht="15" hidden="false" customHeight="true" outlineLevel="0" collapsed="false">
      <c r="A26" s="62" t="s">
        <v>793</v>
      </c>
      <c r="B26" s="62" t="s">
        <v>794</v>
      </c>
      <c r="C26" s="62" t="s">
        <v>502</v>
      </c>
      <c r="D26" s="63" t="n">
        <v>3000</v>
      </c>
      <c r="E26" s="62" t="n">
        <f aca="false">D25*0</f>
        <v>0</v>
      </c>
      <c r="F26" s="62" t="n">
        <f aca="false">D25*0.25</f>
        <v>1250</v>
      </c>
      <c r="G26" s="62" t="n">
        <f aca="false">D25*0.25</f>
        <v>1250</v>
      </c>
      <c r="H26" s="62" t="n">
        <f aca="false">D25*0.25</f>
        <v>1250</v>
      </c>
    </row>
    <row r="27" customFormat="false" ht="15" hidden="false" customHeight="true" outlineLevel="0" collapsed="false">
      <c r="A27" s="62" t="s">
        <v>795</v>
      </c>
      <c r="B27" s="62" t="s">
        <v>796</v>
      </c>
      <c r="C27" s="62" t="s">
        <v>502</v>
      </c>
      <c r="D27" s="63" t="n">
        <v>2000</v>
      </c>
      <c r="E27" s="62" t="n">
        <f aca="false">D26*0</f>
        <v>0</v>
      </c>
      <c r="F27" s="62" t="n">
        <f aca="false">D26*0.25</f>
        <v>750</v>
      </c>
      <c r="G27" s="62" t="n">
        <f aca="false">D26*0.25</f>
        <v>750</v>
      </c>
      <c r="H27" s="62" t="n">
        <f aca="false">D26*0.25</f>
        <v>750</v>
      </c>
    </row>
    <row r="28" customFormat="false" ht="15" hidden="false" customHeight="true" outlineLevel="0" collapsed="false">
      <c r="A28" s="62" t="s">
        <v>797</v>
      </c>
      <c r="B28" s="62" t="s">
        <v>798</v>
      </c>
      <c r="C28" s="62" t="s">
        <v>502</v>
      </c>
      <c r="D28" s="63" t="n">
        <v>1000</v>
      </c>
      <c r="E28" s="62" t="n">
        <f aca="false">D27*0</f>
        <v>0</v>
      </c>
      <c r="F28" s="62" t="n">
        <f aca="false">D27*0.25</f>
        <v>500</v>
      </c>
      <c r="G28" s="62" t="n">
        <f aca="false">D27*0.25</f>
        <v>500</v>
      </c>
      <c r="H28" s="62" t="n">
        <f aca="false">D27*0.25</f>
        <v>500</v>
      </c>
    </row>
    <row r="29" customFormat="false" ht="15" hidden="false" customHeight="true" outlineLevel="0" collapsed="false">
      <c r="A29" s="62" t="s">
        <v>799</v>
      </c>
      <c r="B29" s="62" t="s">
        <v>800</v>
      </c>
      <c r="C29" s="62" t="s">
        <v>502</v>
      </c>
      <c r="D29" s="63" t="n">
        <v>500</v>
      </c>
      <c r="E29" s="62" t="n">
        <f aca="false">D28*0</f>
        <v>0</v>
      </c>
      <c r="F29" s="62" t="n">
        <f aca="false">D28*0.25</f>
        <v>250</v>
      </c>
      <c r="G29" s="62" t="n">
        <f aca="false">D28*0.25</f>
        <v>250</v>
      </c>
      <c r="H29" s="62" t="n">
        <f aca="false">D28*0.25</f>
        <v>250</v>
      </c>
    </row>
    <row r="30" customFormat="false" ht="15" hidden="false" customHeight="true" outlineLevel="0" collapsed="false">
      <c r="A30" s="62" t="s">
        <v>801</v>
      </c>
      <c r="B30" s="62" t="s">
        <v>802</v>
      </c>
      <c r="C30" s="62" t="s">
        <v>502</v>
      </c>
      <c r="D30" s="63" t="n">
        <v>250</v>
      </c>
      <c r="E30" s="62" t="n">
        <f aca="false">D29*0</f>
        <v>0</v>
      </c>
      <c r="F30" s="62" t="n">
        <f aca="false">D29*0.25</f>
        <v>125</v>
      </c>
      <c r="G30" s="62" t="n">
        <f aca="false">D29*0.25</f>
        <v>125</v>
      </c>
      <c r="H30" s="62" t="n">
        <f aca="false">D29*0.25</f>
        <v>125</v>
      </c>
    </row>
    <row r="31" customFormat="false" ht="15" hidden="false" customHeight="true" outlineLevel="0" collapsed="false">
      <c r="A31" s="62" t="s">
        <v>803</v>
      </c>
      <c r="B31" s="62" t="s">
        <v>804</v>
      </c>
      <c r="C31" s="62" t="s">
        <v>507</v>
      </c>
      <c r="D31" s="62" t="n">
        <v>0</v>
      </c>
      <c r="E31" s="62" t="n">
        <v>0</v>
      </c>
      <c r="F31" s="62" t="n">
        <v>0</v>
      </c>
      <c r="G31" s="62" t="n">
        <v>0</v>
      </c>
      <c r="H31" s="62" t="n">
        <v>0</v>
      </c>
    </row>
    <row r="33" customFormat="false" ht="15" hidden="false" customHeight="true" outlineLevel="0" collapsed="false">
      <c r="A33" s="60" t="s">
        <v>805</v>
      </c>
      <c r="B33" s="60"/>
      <c r="C33" s="60"/>
      <c r="D33" s="60"/>
      <c r="E33" s="60"/>
      <c r="F33" s="60"/>
      <c r="G33" s="60"/>
      <c r="H33" s="60"/>
      <c r="I33" s="60"/>
      <c r="J33" s="60"/>
    </row>
    <row r="34" customFormat="false" ht="26.25" hidden="false" customHeight="true" outlineLevel="0" collapsed="false">
      <c r="A34" s="65" t="s">
        <v>806</v>
      </c>
      <c r="B34" s="65" t="s">
        <v>446</v>
      </c>
      <c r="C34" s="65" t="s">
        <v>807</v>
      </c>
      <c r="D34" s="65" t="s">
        <v>808</v>
      </c>
      <c r="E34" s="65" t="s">
        <v>809</v>
      </c>
      <c r="F34" s="65" t="s">
        <v>810</v>
      </c>
      <c r="G34" s="65" t="s">
        <v>811</v>
      </c>
      <c r="H34" s="65" t="s">
        <v>812</v>
      </c>
      <c r="I34" s="65" t="s">
        <v>813</v>
      </c>
      <c r="J34" s="65" t="s">
        <v>814</v>
      </c>
    </row>
    <row r="35" customFormat="false" ht="15" hidden="false" customHeight="true" outlineLevel="0" collapsed="false">
      <c r="A35" s="62" t="s">
        <v>298</v>
      </c>
      <c r="B35" s="62" t="s">
        <v>791</v>
      </c>
      <c r="C35" s="63" t="s">
        <v>815</v>
      </c>
      <c r="D35" s="63" t="n">
        <v>5000</v>
      </c>
      <c r="E35" s="66" t="n">
        <f aca="false">$B$9</f>
        <v>500</v>
      </c>
      <c r="F35" s="62" t="n">
        <v>0</v>
      </c>
      <c r="G35" s="67" t="n">
        <f aca="false">D35*0.25</f>
        <v>1250</v>
      </c>
      <c r="H35" s="67" t="n">
        <f aca="false">D35*0.25</f>
        <v>1250</v>
      </c>
      <c r="I35" s="67" t="n">
        <f aca="false">D35*0.25</f>
        <v>1250</v>
      </c>
      <c r="J35" s="68" t="n">
        <f aca="false">(F35+G35+H35+I35)*E35</f>
        <v>1875000</v>
      </c>
    </row>
    <row r="36" customFormat="false" ht="15" hidden="false" customHeight="true" outlineLevel="0" collapsed="false">
      <c r="A36" s="62" t="s">
        <v>289</v>
      </c>
      <c r="B36" s="62" t="s">
        <v>793</v>
      </c>
      <c r="C36" s="63" t="s">
        <v>815</v>
      </c>
      <c r="D36" s="63" t="n">
        <v>3000</v>
      </c>
      <c r="E36" s="66" t="n">
        <f aca="false">$B$9</f>
        <v>500</v>
      </c>
      <c r="F36" s="62" t="n">
        <v>0</v>
      </c>
      <c r="G36" s="67" t="n">
        <f aca="false">D36*0.25</f>
        <v>750</v>
      </c>
      <c r="H36" s="67" t="n">
        <f aca="false">D36*0.25</f>
        <v>750</v>
      </c>
      <c r="I36" s="67" t="n">
        <f aca="false">D36*0.25</f>
        <v>750</v>
      </c>
      <c r="J36" s="68" t="n">
        <f aca="false">(F36+G36+H36+I36)*E36</f>
        <v>1125000</v>
      </c>
    </row>
    <row r="37" customFormat="false" ht="15" hidden="false" customHeight="true" outlineLevel="0" collapsed="false">
      <c r="A37" s="62" t="s">
        <v>148</v>
      </c>
      <c r="B37" s="62" t="s">
        <v>795</v>
      </c>
      <c r="C37" s="63" t="s">
        <v>815</v>
      </c>
      <c r="D37" s="63" t="n">
        <v>2000</v>
      </c>
      <c r="E37" s="66" t="n">
        <f aca="false">$B$9</f>
        <v>500</v>
      </c>
      <c r="F37" s="62" t="n">
        <v>0</v>
      </c>
      <c r="G37" s="67" t="n">
        <f aca="false">D37*0.25</f>
        <v>500</v>
      </c>
      <c r="H37" s="67" t="n">
        <f aca="false">D37*0.25</f>
        <v>500</v>
      </c>
      <c r="I37" s="67" t="n">
        <f aca="false">D37*0.25</f>
        <v>500</v>
      </c>
      <c r="J37" s="68" t="n">
        <f aca="false">(F37+G37+H37+I37)*E37</f>
        <v>750000</v>
      </c>
    </row>
    <row r="38" customFormat="false" ht="15" hidden="false" customHeight="true" outlineLevel="0" collapsed="false">
      <c r="A38" s="62" t="s">
        <v>142</v>
      </c>
      <c r="B38" s="62" t="s">
        <v>795</v>
      </c>
      <c r="C38" s="63" t="s">
        <v>815</v>
      </c>
      <c r="D38" s="63" t="n">
        <v>2000</v>
      </c>
      <c r="E38" s="66" t="n">
        <f aca="false">$B$9</f>
        <v>500</v>
      </c>
      <c r="F38" s="62" t="n">
        <v>0</v>
      </c>
      <c r="G38" s="67" t="n">
        <f aca="false">D38*0.25</f>
        <v>500</v>
      </c>
      <c r="H38" s="67" t="n">
        <f aca="false">D38*0.25</f>
        <v>500</v>
      </c>
      <c r="I38" s="67" t="n">
        <f aca="false">D38*0.25</f>
        <v>500</v>
      </c>
      <c r="J38" s="68" t="n">
        <f aca="false">(F38+G38+H38+I38)*E38</f>
        <v>750000</v>
      </c>
    </row>
    <row r="39" customFormat="false" ht="15" hidden="false" customHeight="true" outlineLevel="0" collapsed="false">
      <c r="A39" s="62" t="s">
        <v>256</v>
      </c>
      <c r="B39" s="62" t="s">
        <v>795</v>
      </c>
      <c r="C39" s="63" t="s">
        <v>815</v>
      </c>
      <c r="D39" s="63" t="n">
        <v>2000</v>
      </c>
      <c r="E39" s="66" t="n">
        <f aca="false">$B$9</f>
        <v>500</v>
      </c>
      <c r="F39" s="62" t="n">
        <v>0</v>
      </c>
      <c r="G39" s="67" t="n">
        <f aca="false">D39*0.25</f>
        <v>500</v>
      </c>
      <c r="H39" s="67" t="n">
        <f aca="false">D39*0.25</f>
        <v>500</v>
      </c>
      <c r="I39" s="67" t="n">
        <f aca="false">D39*0.25</f>
        <v>500</v>
      </c>
      <c r="J39" s="68" t="n">
        <f aca="false">(F39+G39+H39+I39)*E39</f>
        <v>750000</v>
      </c>
    </row>
    <row r="40" customFormat="false" ht="15" hidden="false" customHeight="true" outlineLevel="0" collapsed="false">
      <c r="A40" s="62" t="s">
        <v>136</v>
      </c>
      <c r="B40" s="62" t="s">
        <v>797</v>
      </c>
      <c r="C40" s="63" t="s">
        <v>815</v>
      </c>
      <c r="D40" s="63" t="n">
        <v>1000</v>
      </c>
      <c r="E40" s="66" t="n">
        <f aca="false">$B$9</f>
        <v>500</v>
      </c>
      <c r="F40" s="62" t="n">
        <v>0</v>
      </c>
      <c r="G40" s="67" t="n">
        <f aca="false">D40*0.25</f>
        <v>250</v>
      </c>
      <c r="H40" s="67" t="n">
        <f aca="false">D40*0.25</f>
        <v>250</v>
      </c>
      <c r="I40" s="67" t="n">
        <f aca="false">D40*0.25</f>
        <v>250</v>
      </c>
      <c r="J40" s="68" t="n">
        <f aca="false">(F40+G40+H40+I40)*E40</f>
        <v>375000</v>
      </c>
    </row>
    <row r="41" customFormat="false" ht="15" hidden="false" customHeight="true" outlineLevel="0" collapsed="false">
      <c r="A41" s="62" t="s">
        <v>281</v>
      </c>
      <c r="B41" s="62" t="s">
        <v>797</v>
      </c>
      <c r="C41" s="63" t="s">
        <v>815</v>
      </c>
      <c r="D41" s="63" t="n">
        <v>1000</v>
      </c>
      <c r="E41" s="66" t="n">
        <f aca="false">$B$9</f>
        <v>500</v>
      </c>
      <c r="F41" s="62" t="n">
        <v>0</v>
      </c>
      <c r="G41" s="67" t="n">
        <f aca="false">D41*0.25</f>
        <v>250</v>
      </c>
      <c r="H41" s="67" t="n">
        <f aca="false">D41*0.25</f>
        <v>250</v>
      </c>
      <c r="I41" s="67" t="n">
        <f aca="false">D41*0.25</f>
        <v>250</v>
      </c>
      <c r="J41" s="68" t="n">
        <f aca="false">(F41+G41+H41+I41)*E41</f>
        <v>375000</v>
      </c>
    </row>
    <row r="42" customFormat="false" ht="15" hidden="false" customHeight="true" outlineLevel="0" collapsed="false">
      <c r="A42" s="62" t="s">
        <v>312</v>
      </c>
      <c r="B42" s="62" t="s">
        <v>797</v>
      </c>
      <c r="C42" s="63" t="s">
        <v>815</v>
      </c>
      <c r="D42" s="63" t="n">
        <v>1000</v>
      </c>
      <c r="E42" s="66" t="n">
        <f aca="false">$B$9</f>
        <v>500</v>
      </c>
      <c r="F42" s="62" t="n">
        <v>0</v>
      </c>
      <c r="G42" s="67" t="n">
        <f aca="false">D42*0.25</f>
        <v>250</v>
      </c>
      <c r="H42" s="67" t="n">
        <f aca="false">D42*0.25</f>
        <v>250</v>
      </c>
      <c r="I42" s="67" t="n">
        <f aca="false">D42*0.25</f>
        <v>250</v>
      </c>
      <c r="J42" s="68" t="n">
        <f aca="false">(F42+G42+H42+I42)*E42</f>
        <v>375000</v>
      </c>
    </row>
    <row r="43" customFormat="false" ht="15" hidden="false" customHeight="true" outlineLevel="0" collapsed="false">
      <c r="A43" s="62" t="s">
        <v>248</v>
      </c>
      <c r="B43" s="62" t="s">
        <v>799</v>
      </c>
      <c r="C43" s="63" t="s">
        <v>815</v>
      </c>
      <c r="D43" s="63" t="n">
        <v>500</v>
      </c>
      <c r="E43" s="66" t="n">
        <f aca="false">$B$9</f>
        <v>500</v>
      </c>
      <c r="F43" s="62" t="n">
        <v>0</v>
      </c>
      <c r="G43" s="67" t="n">
        <f aca="false">D43*0.25</f>
        <v>125</v>
      </c>
      <c r="H43" s="67" t="n">
        <f aca="false">D43*0.25</f>
        <v>125</v>
      </c>
      <c r="I43" s="67" t="n">
        <f aca="false">D43*0.25</f>
        <v>125</v>
      </c>
      <c r="J43" s="68" t="n">
        <f aca="false">(F43+G43+H43+I43)*E43</f>
        <v>187500</v>
      </c>
    </row>
    <row r="44" customFormat="false" ht="15" hidden="false" customHeight="true" outlineLevel="0" collapsed="false">
      <c r="A44" s="62" t="s">
        <v>225</v>
      </c>
      <c r="B44" s="62" t="s">
        <v>799</v>
      </c>
      <c r="C44" s="63" t="s">
        <v>815</v>
      </c>
      <c r="D44" s="63" t="n">
        <v>500</v>
      </c>
      <c r="E44" s="66" t="n">
        <f aca="false">$B$9</f>
        <v>500</v>
      </c>
      <c r="F44" s="62" t="n">
        <v>0</v>
      </c>
      <c r="G44" s="67" t="n">
        <f aca="false">D44*0.25</f>
        <v>125</v>
      </c>
      <c r="H44" s="67" t="n">
        <f aca="false">D44*0.25</f>
        <v>125</v>
      </c>
      <c r="I44" s="67" t="n">
        <f aca="false">D44*0.25</f>
        <v>125</v>
      </c>
      <c r="J44" s="68" t="n">
        <f aca="false">(F44+G44+H44+I44)*E44</f>
        <v>187500</v>
      </c>
    </row>
    <row r="45" customFormat="false" ht="15" hidden="false" customHeight="true" outlineLevel="0" collapsed="false">
      <c r="A45" s="69" t="s">
        <v>816</v>
      </c>
      <c r="B45" s="70"/>
      <c r="C45" s="70"/>
      <c r="D45" s="69" t="n">
        <f aca="false">SUM(D35:D44)</f>
        <v>18000</v>
      </c>
      <c r="E45" s="70"/>
      <c r="F45" s="70"/>
      <c r="G45" s="70"/>
      <c r="H45" s="70"/>
      <c r="I45" s="70"/>
      <c r="J45" s="71" t="n">
        <f aca="false">SUM(J35:J44)</f>
        <v>6750000</v>
      </c>
    </row>
    <row r="46" customFormat="false" ht="15" hidden="false" customHeight="true" outlineLevel="0" collapsed="false">
      <c r="A46" s="67" t="s">
        <v>817</v>
      </c>
      <c r="B46" s="67"/>
      <c r="C46" s="67"/>
      <c r="D46" s="72" t="n">
        <f aca="false">$B$8-D45</f>
        <v>32000</v>
      </c>
      <c r="E46" s="67"/>
      <c r="F46" s="67"/>
      <c r="G46" s="67"/>
      <c r="H46" s="67"/>
      <c r="I46" s="67"/>
      <c r="J46" s="67"/>
    </row>
    <row r="48" customFormat="false" ht="15" hidden="false" customHeight="true" outlineLevel="0" collapsed="false">
      <c r="A48" s="73" t="s">
        <v>818</v>
      </c>
      <c r="B48" s="73"/>
      <c r="C48" s="73"/>
      <c r="D48" s="73"/>
      <c r="E48" s="73"/>
      <c r="F48" s="73"/>
      <c r="G48" s="73"/>
      <c r="H48" s="73"/>
      <c r="I48" s="73"/>
      <c r="J48" s="73"/>
    </row>
  </sheetData>
  <mergeCells count="5">
    <mergeCell ref="A1:J1"/>
    <mergeCell ref="A3:E3"/>
    <mergeCell ref="A22:H22"/>
    <mergeCell ref="A33:J33"/>
    <mergeCell ref="A48:J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0" width="28"/>
    <col collapsed="false" customWidth="true" hidden="false" outlineLevel="0" max="2" min="2" style="20" width="24"/>
    <col collapsed="false" customWidth="true" hidden="false" outlineLevel="0" max="3" min="3" style="20" width="30"/>
    <col collapsed="false" customWidth="true" hidden="false" outlineLevel="0" max="5" min="4" style="20" width="14"/>
    <col collapsed="false" customWidth="true" hidden="false" outlineLevel="0" max="6" min="6" style="20" width="10"/>
    <col collapsed="false" customWidth="true" hidden="false" outlineLevel="0" max="7" min="7" style="20" width="12"/>
    <col collapsed="false" customWidth="true" hidden="false" outlineLevel="0" max="8" min="8" style="20" width="10"/>
    <col collapsed="false" customWidth="true" hidden="false" outlineLevel="0" max="9" min="9" style="20" width="14"/>
  </cols>
  <sheetData>
    <row r="1" customFormat="false" ht="15.75" hidden="false" customHeight="true" outlineLevel="0" collapsed="false">
      <c r="A1" s="59" t="s">
        <v>819</v>
      </c>
      <c r="B1" s="59"/>
      <c r="C1" s="59"/>
      <c r="D1" s="59"/>
      <c r="E1" s="59"/>
      <c r="F1" s="59"/>
      <c r="G1" s="59"/>
      <c r="H1" s="59"/>
      <c r="I1" s="59"/>
    </row>
    <row r="3" customFormat="false" ht="15" hidden="false" customHeight="true" outlineLevel="0" collapsed="false">
      <c r="A3" s="60" t="s">
        <v>820</v>
      </c>
      <c r="B3" s="60"/>
      <c r="C3" s="60"/>
      <c r="D3" s="60"/>
      <c r="E3" s="60"/>
    </row>
    <row r="4" customFormat="false" ht="15" hidden="false" customHeight="true" outlineLevel="0" collapsed="false">
      <c r="A4" s="61" t="s">
        <v>821</v>
      </c>
      <c r="B4" s="61" t="s">
        <v>822</v>
      </c>
      <c r="C4" s="61" t="s">
        <v>823</v>
      </c>
      <c r="D4" s="61" t="s">
        <v>824</v>
      </c>
      <c r="E4" s="61" t="s">
        <v>825</v>
      </c>
    </row>
    <row r="5" customFormat="false" ht="15" hidden="false" customHeight="true" outlineLevel="0" collapsed="false">
      <c r="A5" s="62" t="s">
        <v>826</v>
      </c>
      <c r="B5" s="74" t="n">
        <v>0.4</v>
      </c>
      <c r="C5" s="74" t="n">
        <v>0.5</v>
      </c>
      <c r="D5" s="74" t="n">
        <v>0.35</v>
      </c>
      <c r="E5" s="74" t="n">
        <v>0.2</v>
      </c>
    </row>
    <row r="6" customFormat="false" ht="15" hidden="false" customHeight="true" outlineLevel="0" collapsed="false">
      <c r="A6" s="62" t="s">
        <v>827</v>
      </c>
      <c r="B6" s="74" t="n">
        <v>0.25</v>
      </c>
      <c r="C6" s="74" t="n">
        <v>0.2</v>
      </c>
      <c r="D6" s="74" t="n">
        <v>0.25</v>
      </c>
      <c r="E6" s="74" t="n">
        <v>0.3</v>
      </c>
    </row>
    <row r="7" customFormat="false" ht="15" hidden="false" customHeight="true" outlineLevel="0" collapsed="false">
      <c r="A7" s="62" t="s">
        <v>828</v>
      </c>
      <c r="B7" s="74" t="n">
        <v>0.2</v>
      </c>
      <c r="C7" s="74" t="n">
        <v>0.15</v>
      </c>
      <c r="D7" s="74" t="n">
        <v>0.25</v>
      </c>
      <c r="E7" s="74" t="n">
        <v>0.3</v>
      </c>
    </row>
    <row r="8" customFormat="false" ht="15" hidden="false" customHeight="true" outlineLevel="0" collapsed="false">
      <c r="A8" s="62" t="s">
        <v>829</v>
      </c>
      <c r="B8" s="74" t="n">
        <v>0.15</v>
      </c>
      <c r="C8" s="74" t="n">
        <v>0.15</v>
      </c>
      <c r="D8" s="74" t="n">
        <v>0.15</v>
      </c>
      <c r="E8" s="74" t="n">
        <v>0.2</v>
      </c>
    </row>
    <row r="9" customFormat="false" ht="15" hidden="false" customHeight="true" outlineLevel="0" collapsed="false">
      <c r="A9" s="69" t="s">
        <v>480</v>
      </c>
      <c r="B9" s="75" t="n">
        <f aca="false">SUM(B5:B8)</f>
        <v>1</v>
      </c>
      <c r="C9" s="75" t="n">
        <f aca="false">SUM(C5:C8)</f>
        <v>1</v>
      </c>
      <c r="D9" s="75" t="n">
        <f aca="false">SUM(D5:D8)</f>
        <v>1</v>
      </c>
      <c r="E9" s="75" t="n">
        <f aca="false">SUM(E5:E8)</f>
        <v>1</v>
      </c>
    </row>
    <row r="12" customFormat="false" ht="15" hidden="false" customHeight="true" outlineLevel="0" collapsed="false">
      <c r="A12" s="60" t="s">
        <v>830</v>
      </c>
      <c r="B12" s="60"/>
      <c r="C12" s="60"/>
      <c r="D12" s="60"/>
      <c r="E12" s="60"/>
      <c r="F12" s="60"/>
      <c r="G12" s="60"/>
      <c r="H12" s="60"/>
      <c r="I12" s="60"/>
    </row>
    <row r="13" customFormat="false" ht="26.25" hidden="false" customHeight="true" outlineLevel="0" collapsed="false">
      <c r="A13" s="65" t="s">
        <v>821</v>
      </c>
      <c r="B13" s="65" t="s">
        <v>831</v>
      </c>
      <c r="C13" s="65" t="s">
        <v>832</v>
      </c>
      <c r="D13" s="65" t="s">
        <v>833</v>
      </c>
      <c r="E13" s="65" t="s">
        <v>834</v>
      </c>
      <c r="F13" s="65" t="s">
        <v>822</v>
      </c>
      <c r="G13" s="65" t="s">
        <v>835</v>
      </c>
      <c r="H13" s="65" t="s">
        <v>836</v>
      </c>
      <c r="I13" s="65" t="s">
        <v>837</v>
      </c>
    </row>
    <row r="14" customFormat="false" ht="15" hidden="false" customHeight="true" outlineLevel="0" collapsed="false">
      <c r="A14" s="76" t="s">
        <v>826</v>
      </c>
      <c r="B14" s="76" t="s">
        <v>838</v>
      </c>
      <c r="C14" s="62" t="s">
        <v>839</v>
      </c>
      <c r="D14" s="62" t="s">
        <v>39</v>
      </c>
      <c r="E14" s="62" t="s">
        <v>840</v>
      </c>
      <c r="F14" s="74" t="n">
        <v>0.15</v>
      </c>
      <c r="G14" s="64"/>
      <c r="H14" s="77" t="n">
        <v>0</v>
      </c>
      <c r="I14" s="78" t="n">
        <f aca="false">H14*F14</f>
        <v>0</v>
      </c>
    </row>
    <row r="15" customFormat="false" ht="15" hidden="false" customHeight="true" outlineLevel="0" collapsed="false">
      <c r="A15" s="76" t="s">
        <v>826</v>
      </c>
      <c r="B15" s="76" t="s">
        <v>841</v>
      </c>
      <c r="C15" s="62" t="s">
        <v>842</v>
      </c>
      <c r="D15" s="62" t="s">
        <v>54</v>
      </c>
      <c r="E15" s="62" t="s">
        <v>49</v>
      </c>
      <c r="F15" s="74" t="n">
        <v>0.1</v>
      </c>
      <c r="G15" s="64"/>
      <c r="H15" s="77" t="n">
        <v>0</v>
      </c>
      <c r="I15" s="78" t="n">
        <f aca="false">H15*F15</f>
        <v>0</v>
      </c>
    </row>
    <row r="16" customFormat="false" ht="15" hidden="false" customHeight="true" outlineLevel="0" collapsed="false">
      <c r="A16" s="76" t="s">
        <v>826</v>
      </c>
      <c r="B16" s="76" t="s">
        <v>843</v>
      </c>
      <c r="C16" s="62" t="s">
        <v>844</v>
      </c>
      <c r="D16" s="62" t="s">
        <v>845</v>
      </c>
      <c r="E16" s="62" t="s">
        <v>846</v>
      </c>
      <c r="F16" s="74" t="n">
        <v>0.08</v>
      </c>
      <c r="G16" s="64"/>
      <c r="H16" s="77" t="n">
        <v>0</v>
      </c>
      <c r="I16" s="78" t="n">
        <f aca="false">H16*F16</f>
        <v>0</v>
      </c>
    </row>
    <row r="17" customFormat="false" ht="15" hidden="false" customHeight="true" outlineLevel="0" collapsed="false">
      <c r="A17" s="76" t="s">
        <v>826</v>
      </c>
      <c r="B17" s="76" t="s">
        <v>847</v>
      </c>
      <c r="C17" s="62" t="s">
        <v>848</v>
      </c>
      <c r="D17" s="62" t="s">
        <v>49</v>
      </c>
      <c r="E17" s="62" t="s">
        <v>849</v>
      </c>
      <c r="F17" s="74" t="n">
        <v>0.07</v>
      </c>
      <c r="G17" s="64"/>
      <c r="H17" s="77" t="n">
        <v>0</v>
      </c>
      <c r="I17" s="78" t="n">
        <f aca="false">H17*F17</f>
        <v>0</v>
      </c>
    </row>
    <row r="18" customFormat="false" ht="15" hidden="false" customHeight="true" outlineLevel="0" collapsed="false">
      <c r="A18" s="79" t="s">
        <v>827</v>
      </c>
      <c r="B18" s="79" t="s">
        <v>850</v>
      </c>
      <c r="C18" s="62" t="s">
        <v>851</v>
      </c>
      <c r="D18" s="62" t="s">
        <v>852</v>
      </c>
      <c r="E18" s="62" t="s">
        <v>853</v>
      </c>
      <c r="F18" s="74" t="n">
        <v>0.08</v>
      </c>
      <c r="G18" s="64"/>
      <c r="H18" s="77" t="n">
        <v>0</v>
      </c>
      <c r="I18" s="78" t="n">
        <f aca="false">H18*F18</f>
        <v>0</v>
      </c>
    </row>
    <row r="19" customFormat="false" ht="15" hidden="false" customHeight="true" outlineLevel="0" collapsed="false">
      <c r="A19" s="79" t="s">
        <v>827</v>
      </c>
      <c r="B19" s="79" t="s">
        <v>854</v>
      </c>
      <c r="C19" s="62" t="s">
        <v>855</v>
      </c>
      <c r="D19" s="62" t="s">
        <v>48</v>
      </c>
      <c r="E19" s="62" t="s">
        <v>58</v>
      </c>
      <c r="F19" s="74" t="n">
        <v>0.07</v>
      </c>
      <c r="G19" s="64"/>
      <c r="H19" s="77" t="n">
        <v>0</v>
      </c>
      <c r="I19" s="78" t="n">
        <f aca="false">H19*F19</f>
        <v>0</v>
      </c>
    </row>
    <row r="20" customFormat="false" ht="15" hidden="false" customHeight="true" outlineLevel="0" collapsed="false">
      <c r="A20" s="79" t="s">
        <v>827</v>
      </c>
      <c r="B20" s="79" t="s">
        <v>856</v>
      </c>
      <c r="C20" s="62" t="s">
        <v>857</v>
      </c>
      <c r="D20" s="62" t="s">
        <v>53</v>
      </c>
      <c r="E20" s="62" t="s">
        <v>39</v>
      </c>
      <c r="F20" s="74" t="n">
        <v>0.05</v>
      </c>
      <c r="G20" s="64"/>
      <c r="H20" s="77" t="n">
        <v>0</v>
      </c>
      <c r="I20" s="78" t="n">
        <f aca="false">H20*F20</f>
        <v>0</v>
      </c>
    </row>
    <row r="21" customFormat="false" ht="15" hidden="false" customHeight="true" outlineLevel="0" collapsed="false">
      <c r="A21" s="79" t="s">
        <v>827</v>
      </c>
      <c r="B21" s="79" t="s">
        <v>858</v>
      </c>
      <c r="C21" s="62" t="s">
        <v>859</v>
      </c>
      <c r="D21" s="62" t="s">
        <v>860</v>
      </c>
      <c r="E21" s="62" t="s">
        <v>861</v>
      </c>
      <c r="F21" s="74" t="n">
        <v>0.05</v>
      </c>
      <c r="G21" s="64"/>
      <c r="H21" s="77" t="n">
        <v>0</v>
      </c>
      <c r="I21" s="78" t="n">
        <f aca="false">H21*F21</f>
        <v>0</v>
      </c>
    </row>
    <row r="22" customFormat="false" ht="15" hidden="false" customHeight="true" outlineLevel="0" collapsed="false">
      <c r="A22" s="80" t="s">
        <v>828</v>
      </c>
      <c r="B22" s="80" t="s">
        <v>862</v>
      </c>
      <c r="C22" s="62" t="s">
        <v>863</v>
      </c>
      <c r="D22" s="62" t="s">
        <v>864</v>
      </c>
      <c r="E22" s="62" t="s">
        <v>865</v>
      </c>
      <c r="F22" s="74" t="n">
        <v>0.06</v>
      </c>
      <c r="G22" s="64"/>
      <c r="H22" s="77" t="n">
        <v>0</v>
      </c>
      <c r="I22" s="78" t="n">
        <f aca="false">H22*F22</f>
        <v>0</v>
      </c>
    </row>
    <row r="23" customFormat="false" ht="15" hidden="false" customHeight="true" outlineLevel="0" collapsed="false">
      <c r="A23" s="80" t="s">
        <v>828</v>
      </c>
      <c r="B23" s="80" t="s">
        <v>866</v>
      </c>
      <c r="C23" s="62" t="s">
        <v>867</v>
      </c>
      <c r="D23" s="62" t="s">
        <v>58</v>
      </c>
      <c r="E23" s="62" t="s">
        <v>39</v>
      </c>
      <c r="F23" s="74" t="n">
        <v>0.05</v>
      </c>
      <c r="G23" s="64"/>
      <c r="H23" s="77" t="n">
        <v>0</v>
      </c>
      <c r="I23" s="78" t="n">
        <f aca="false">H23*F23</f>
        <v>0</v>
      </c>
    </row>
    <row r="24" customFormat="false" ht="15" hidden="false" customHeight="true" outlineLevel="0" collapsed="false">
      <c r="A24" s="80" t="s">
        <v>828</v>
      </c>
      <c r="B24" s="80" t="s">
        <v>868</v>
      </c>
      <c r="C24" s="62" t="s">
        <v>869</v>
      </c>
      <c r="D24" s="62" t="s">
        <v>39</v>
      </c>
      <c r="E24" s="62" t="s">
        <v>39</v>
      </c>
      <c r="F24" s="74" t="n">
        <v>0.05</v>
      </c>
      <c r="G24" s="64"/>
      <c r="H24" s="77" t="n">
        <v>0</v>
      </c>
      <c r="I24" s="78" t="n">
        <f aca="false">H24*F24</f>
        <v>0</v>
      </c>
    </row>
    <row r="25" customFormat="false" ht="15" hidden="false" customHeight="true" outlineLevel="0" collapsed="false">
      <c r="A25" s="80" t="s">
        <v>828</v>
      </c>
      <c r="B25" s="80" t="s">
        <v>870</v>
      </c>
      <c r="C25" s="62" t="s">
        <v>871</v>
      </c>
      <c r="D25" s="62" t="s">
        <v>872</v>
      </c>
      <c r="E25" s="62" t="s">
        <v>872</v>
      </c>
      <c r="F25" s="74" t="n">
        <v>0.04</v>
      </c>
      <c r="G25" s="64"/>
      <c r="H25" s="77" t="n">
        <v>0</v>
      </c>
      <c r="I25" s="78" t="n">
        <f aca="false">H25*F25</f>
        <v>0</v>
      </c>
    </row>
    <row r="26" customFormat="false" ht="15" hidden="false" customHeight="true" outlineLevel="0" collapsed="false">
      <c r="A26" s="81" t="s">
        <v>829</v>
      </c>
      <c r="B26" s="81" t="s">
        <v>873</v>
      </c>
      <c r="C26" s="62" t="s">
        <v>874</v>
      </c>
      <c r="D26" s="62" t="s">
        <v>875</v>
      </c>
      <c r="E26" s="62" t="s">
        <v>876</v>
      </c>
      <c r="F26" s="74" t="n">
        <v>0.05</v>
      </c>
      <c r="G26" s="64"/>
      <c r="H26" s="77" t="n">
        <v>0</v>
      </c>
      <c r="I26" s="78" t="n">
        <f aca="false">H26*F26</f>
        <v>0</v>
      </c>
    </row>
    <row r="27" customFormat="false" ht="15" hidden="false" customHeight="true" outlineLevel="0" collapsed="false">
      <c r="A27" s="81" t="s">
        <v>829</v>
      </c>
      <c r="B27" s="81" t="s">
        <v>877</v>
      </c>
      <c r="C27" s="62" t="s">
        <v>878</v>
      </c>
      <c r="D27" s="62" t="s">
        <v>879</v>
      </c>
      <c r="E27" s="62" t="s">
        <v>880</v>
      </c>
      <c r="F27" s="74" t="n">
        <v>0.04</v>
      </c>
      <c r="G27" s="64"/>
      <c r="H27" s="77" t="n">
        <v>0</v>
      </c>
      <c r="I27" s="78" t="n">
        <f aca="false">H27*F27</f>
        <v>0</v>
      </c>
    </row>
    <row r="28" customFormat="false" ht="15" hidden="false" customHeight="true" outlineLevel="0" collapsed="false">
      <c r="A28" s="81" t="s">
        <v>829</v>
      </c>
      <c r="B28" s="81" t="s">
        <v>881</v>
      </c>
      <c r="C28" s="62" t="s">
        <v>882</v>
      </c>
      <c r="D28" s="62" t="s">
        <v>883</v>
      </c>
      <c r="E28" s="62" t="s">
        <v>58</v>
      </c>
      <c r="F28" s="74" t="n">
        <v>0.04</v>
      </c>
      <c r="G28" s="64"/>
      <c r="H28" s="77" t="n">
        <v>0</v>
      </c>
      <c r="I28" s="78" t="n">
        <f aca="false">H28*F28</f>
        <v>0</v>
      </c>
    </row>
    <row r="29" customFormat="false" ht="15" hidden="false" customHeight="true" outlineLevel="0" collapsed="false">
      <c r="A29" s="81" t="s">
        <v>829</v>
      </c>
      <c r="B29" s="81" t="s">
        <v>884</v>
      </c>
      <c r="C29" s="62" t="s">
        <v>885</v>
      </c>
      <c r="D29" s="62" t="s">
        <v>43</v>
      </c>
      <c r="E29" s="62" t="s">
        <v>53</v>
      </c>
      <c r="F29" s="74" t="n">
        <v>0.02</v>
      </c>
      <c r="G29" s="64"/>
      <c r="H29" s="77" t="n">
        <v>0</v>
      </c>
      <c r="I29" s="78" t="n">
        <f aca="false">H29*F29</f>
        <v>0</v>
      </c>
    </row>
    <row r="30" customFormat="false" ht="15" hidden="false" customHeight="true" outlineLevel="0" collapsed="false">
      <c r="A30" s="69" t="s">
        <v>886</v>
      </c>
      <c r="B30" s="70"/>
      <c r="C30" s="70"/>
      <c r="D30" s="70"/>
      <c r="E30" s="70"/>
      <c r="F30" s="82" t="n">
        <f aca="false">SUM(F14:F29)</f>
        <v>1</v>
      </c>
      <c r="G30" s="70"/>
      <c r="H30" s="70"/>
      <c r="I30" s="83" t="n">
        <f aca="false">SUM(I14:I29)</f>
        <v>0</v>
      </c>
    </row>
    <row r="32" customFormat="false" ht="15" hidden="false" customHeight="true" outlineLevel="0" collapsed="false">
      <c r="A32" s="84" t="s">
        <v>887</v>
      </c>
      <c r="B32" s="84"/>
      <c r="C32" s="84"/>
      <c r="D32" s="84"/>
      <c r="E32" s="84"/>
    </row>
    <row r="33" customFormat="false" ht="15" hidden="false" customHeight="true" outlineLevel="0" collapsed="false">
      <c r="A33" s="61" t="s">
        <v>888</v>
      </c>
      <c r="B33" s="61" t="s">
        <v>71</v>
      </c>
      <c r="C33" s="61" t="s">
        <v>70</v>
      </c>
    </row>
    <row r="34" customFormat="false" ht="15" hidden="false" customHeight="true" outlineLevel="0" collapsed="false">
      <c r="A34" s="62" t="s">
        <v>889</v>
      </c>
      <c r="B34" s="63" t="s">
        <v>502</v>
      </c>
      <c r="C34" s="63" t="n">
        <v>1</v>
      </c>
    </row>
    <row r="35" customFormat="false" ht="15" hidden="false" customHeight="true" outlineLevel="0" collapsed="false">
      <c r="A35" s="62" t="s">
        <v>890</v>
      </c>
      <c r="B35" s="63" t="s">
        <v>502</v>
      </c>
      <c r="C35" s="63" t="n">
        <v>1</v>
      </c>
    </row>
    <row r="36" customFormat="false" ht="15" hidden="false" customHeight="true" outlineLevel="0" collapsed="false">
      <c r="A36" s="62" t="s">
        <v>891</v>
      </c>
      <c r="B36" s="63" t="s">
        <v>502</v>
      </c>
      <c r="C36" s="63" t="n">
        <v>1</v>
      </c>
    </row>
    <row r="37" customFormat="false" ht="15" hidden="false" customHeight="true" outlineLevel="0" collapsed="false">
      <c r="A37" s="62" t="s">
        <v>892</v>
      </c>
      <c r="B37" s="63" t="s">
        <v>502</v>
      </c>
      <c r="C37" s="63" t="n">
        <v>1</v>
      </c>
    </row>
    <row r="38" customFormat="false" ht="15" hidden="false" customHeight="true" outlineLevel="0" collapsed="false">
      <c r="A38" s="62" t="s">
        <v>893</v>
      </c>
      <c r="B38" s="63" t="s">
        <v>502</v>
      </c>
      <c r="C38" s="63" t="n">
        <v>1</v>
      </c>
    </row>
    <row r="39" customFormat="false" ht="15" hidden="false" customHeight="true" outlineLevel="0" collapsed="false">
      <c r="A39" s="69" t="s">
        <v>894</v>
      </c>
      <c r="B39" s="70"/>
      <c r="C39" s="85" t="n">
        <f aca="false">IF(COUNTIF(B34:B38,"No")&gt;0,0.8,IF(COUNTIF(B34:B38,"Yes")=5,1.1,1))</f>
        <v>1.1</v>
      </c>
    </row>
    <row r="41" customFormat="false" ht="17.25" hidden="false" customHeight="true" outlineLevel="0" collapsed="false">
      <c r="A41" s="86" t="s">
        <v>895</v>
      </c>
      <c r="C41" s="87" t="n">
        <f aca="false">I30*C39</f>
        <v>0</v>
      </c>
      <c r="E41" s="88" t="s">
        <v>896</v>
      </c>
    </row>
  </sheetData>
  <mergeCells count="4">
    <mergeCell ref="A1:I1"/>
    <mergeCell ref="A3:E3"/>
    <mergeCell ref="A12:I12"/>
    <mergeCell ref="A32: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0" width="22"/>
    <col collapsed="false" customWidth="true" hidden="false" outlineLevel="0" max="2" min="2" style="20" width="8"/>
    <col collapsed="false" customWidth="true" hidden="false" outlineLevel="0" max="5" min="3" style="20" width="16"/>
    <col collapsed="false" customWidth="true" hidden="false" outlineLevel="0" max="8" min="6" style="20" width="14"/>
    <col collapsed="false" customWidth="true" hidden="false" outlineLevel="0" max="9" min="9" style="20" width="12"/>
    <col collapsed="false" customWidth="true" hidden="false" outlineLevel="0" max="10" min="10" style="20" width="18"/>
  </cols>
  <sheetData>
    <row r="1" customFormat="false" ht="15.75" hidden="false" customHeight="true" outlineLevel="0" collapsed="false">
      <c r="A1" s="59" t="s">
        <v>897</v>
      </c>
      <c r="B1" s="59"/>
      <c r="C1" s="59"/>
      <c r="D1" s="59"/>
      <c r="E1" s="59"/>
      <c r="F1" s="59"/>
      <c r="G1" s="59"/>
      <c r="H1" s="59"/>
      <c r="I1" s="59"/>
      <c r="J1" s="59"/>
    </row>
    <row r="3" customFormat="false" ht="15" hidden="false" customHeight="true" outlineLevel="0" collapsed="false">
      <c r="A3" s="60" t="s">
        <v>898</v>
      </c>
      <c r="B3" s="60"/>
      <c r="C3" s="60"/>
      <c r="D3" s="60"/>
      <c r="E3" s="60"/>
      <c r="F3" s="60"/>
    </row>
    <row r="4" customFormat="false" ht="15" hidden="false" customHeight="true" outlineLevel="0" collapsed="false">
      <c r="A4" s="61" t="s">
        <v>741</v>
      </c>
      <c r="B4" s="61" t="s">
        <v>742</v>
      </c>
      <c r="C4" s="61" t="s">
        <v>899</v>
      </c>
    </row>
    <row r="5" customFormat="false" ht="15" hidden="false" customHeight="true" outlineLevel="0" collapsed="false">
      <c r="A5" s="62" t="s">
        <v>900</v>
      </c>
      <c r="B5" s="63" t="s">
        <v>901</v>
      </c>
      <c r="C5" s="62" t="s">
        <v>902</v>
      </c>
    </row>
    <row r="6" customFormat="false" ht="15" hidden="false" customHeight="true" outlineLevel="0" collapsed="false">
      <c r="A6" s="62" t="s">
        <v>903</v>
      </c>
      <c r="B6" s="63" t="s">
        <v>849</v>
      </c>
      <c r="C6" s="62" t="s">
        <v>904</v>
      </c>
    </row>
    <row r="7" customFormat="false" ht="15" hidden="false" customHeight="true" outlineLevel="0" collapsed="false">
      <c r="A7" s="62" t="s">
        <v>905</v>
      </c>
      <c r="B7" s="63" t="s">
        <v>49</v>
      </c>
      <c r="C7" s="62" t="s">
        <v>906</v>
      </c>
    </row>
    <row r="8" customFormat="false" ht="15" hidden="false" customHeight="true" outlineLevel="0" collapsed="false">
      <c r="A8" s="62" t="s">
        <v>907</v>
      </c>
      <c r="B8" s="63" t="s">
        <v>49</v>
      </c>
      <c r="C8" s="62" t="s">
        <v>908</v>
      </c>
    </row>
    <row r="9" customFormat="false" ht="15" hidden="false" customHeight="true" outlineLevel="0" collapsed="false">
      <c r="A9" s="62" t="s">
        <v>909</v>
      </c>
      <c r="B9" s="63" t="s">
        <v>910</v>
      </c>
      <c r="C9" s="62" t="s">
        <v>911</v>
      </c>
    </row>
    <row r="10" customFormat="false" ht="15" hidden="false" customHeight="true" outlineLevel="0" collapsed="false">
      <c r="A10" s="62" t="s">
        <v>912</v>
      </c>
      <c r="B10" s="63" t="s">
        <v>913</v>
      </c>
      <c r="C10" s="62" t="s">
        <v>914</v>
      </c>
    </row>
    <row r="13" customFormat="false" ht="15" hidden="false" customHeight="true" outlineLevel="0" collapsed="false">
      <c r="A13" s="84" t="s">
        <v>915</v>
      </c>
      <c r="B13" s="84"/>
      <c r="C13" s="84"/>
      <c r="D13" s="84"/>
      <c r="E13" s="84"/>
      <c r="F13" s="84"/>
    </row>
    <row r="14" customFormat="false" ht="15" hidden="false" customHeight="true" outlineLevel="0" collapsed="false">
      <c r="A14" s="61" t="s">
        <v>916</v>
      </c>
      <c r="B14" s="61" t="s">
        <v>917</v>
      </c>
      <c r="C14" s="61" t="s">
        <v>918</v>
      </c>
      <c r="D14" s="61" t="s">
        <v>919</v>
      </c>
    </row>
    <row r="15" customFormat="false" ht="15" hidden="false" customHeight="true" outlineLevel="0" collapsed="false">
      <c r="A15" s="62" t="s">
        <v>920</v>
      </c>
      <c r="B15" s="62" t="s">
        <v>921</v>
      </c>
      <c r="C15" s="62" t="s">
        <v>922</v>
      </c>
      <c r="D15" s="62" t="s">
        <v>923</v>
      </c>
    </row>
    <row r="16" customFormat="false" ht="15" hidden="false" customHeight="true" outlineLevel="0" collapsed="false">
      <c r="A16" s="62" t="s">
        <v>924</v>
      </c>
      <c r="B16" s="89" t="s">
        <v>39</v>
      </c>
      <c r="C16" s="62" t="s">
        <v>922</v>
      </c>
      <c r="D16" s="62" t="s">
        <v>923</v>
      </c>
    </row>
    <row r="17" customFormat="false" ht="15" hidden="false" customHeight="true" outlineLevel="0" collapsed="false">
      <c r="A17" s="62" t="s">
        <v>925</v>
      </c>
      <c r="B17" s="89" t="s">
        <v>39</v>
      </c>
      <c r="C17" s="62" t="s">
        <v>922</v>
      </c>
      <c r="D17" s="62" t="s">
        <v>926</v>
      </c>
    </row>
    <row r="18" customFormat="false" ht="15" hidden="false" customHeight="true" outlineLevel="0" collapsed="false">
      <c r="A18" s="62" t="s">
        <v>927</v>
      </c>
      <c r="B18" s="89" t="s">
        <v>39</v>
      </c>
      <c r="C18" s="62" t="s">
        <v>928</v>
      </c>
      <c r="D18" s="62" t="s">
        <v>929</v>
      </c>
    </row>
    <row r="19" customFormat="false" ht="15" hidden="false" customHeight="true" outlineLevel="0" collapsed="false">
      <c r="A19" s="62" t="s">
        <v>930</v>
      </c>
      <c r="B19" s="62" t="s">
        <v>931</v>
      </c>
      <c r="C19" s="62" t="s">
        <v>922</v>
      </c>
      <c r="D19" s="62" t="s">
        <v>932</v>
      </c>
    </row>
    <row r="20" customFormat="false" ht="15" hidden="false" customHeight="true" outlineLevel="0" collapsed="false">
      <c r="A20" s="62" t="s">
        <v>933</v>
      </c>
      <c r="B20" s="89" t="s">
        <v>39</v>
      </c>
      <c r="C20" s="62" t="s">
        <v>934</v>
      </c>
      <c r="D20" s="62" t="s">
        <v>935</v>
      </c>
    </row>
    <row r="21" customFormat="false" ht="15" hidden="false" customHeight="true" outlineLevel="0" collapsed="false">
      <c r="A21" s="62" t="s">
        <v>936</v>
      </c>
      <c r="B21" s="62" t="s">
        <v>921</v>
      </c>
      <c r="C21" s="62" t="s">
        <v>922</v>
      </c>
      <c r="D21" s="62" t="s">
        <v>937</v>
      </c>
    </row>
    <row r="24" customFormat="false" ht="15" hidden="false" customHeight="true" outlineLevel="0" collapsed="false">
      <c r="A24" s="60" t="s">
        <v>938</v>
      </c>
      <c r="B24" s="60"/>
      <c r="C24" s="60"/>
      <c r="D24" s="60"/>
      <c r="E24" s="60"/>
      <c r="F24" s="60"/>
      <c r="G24" s="60"/>
      <c r="H24" s="60"/>
      <c r="I24" s="60"/>
      <c r="J24" s="60"/>
    </row>
    <row r="25" customFormat="false" ht="26.25" hidden="false" customHeight="true" outlineLevel="0" collapsed="false">
      <c r="A25" s="65" t="s">
        <v>939</v>
      </c>
      <c r="B25" s="65" t="s">
        <v>446</v>
      </c>
      <c r="C25" s="65" t="s">
        <v>940</v>
      </c>
      <c r="D25" s="65" t="s">
        <v>941</v>
      </c>
      <c r="E25" s="65" t="s">
        <v>942</v>
      </c>
      <c r="F25" s="65" t="s">
        <v>943</v>
      </c>
      <c r="G25" s="65" t="s">
        <v>944</v>
      </c>
      <c r="H25" s="65" t="s">
        <v>945</v>
      </c>
      <c r="I25" s="65" t="s">
        <v>917</v>
      </c>
      <c r="J25" s="65" t="s">
        <v>946</v>
      </c>
    </row>
    <row r="26" customFormat="false" ht="15" hidden="false" customHeight="true" outlineLevel="0" collapsed="false">
      <c r="A26" s="62" t="s">
        <v>298</v>
      </c>
      <c r="B26" s="62" t="s">
        <v>791</v>
      </c>
      <c r="C26" s="90" t="n">
        <v>0</v>
      </c>
      <c r="D26" s="91" t="n">
        <f aca="false">IF(C26&lt;50000,C26,C26*0.6)</f>
        <v>0</v>
      </c>
      <c r="E26" s="91" t="n">
        <f aca="false">IF(C26&lt;50000,0,C26*0.4)</f>
        <v>0</v>
      </c>
      <c r="F26" s="91" t="n">
        <f aca="false">E26*0.5</f>
        <v>0</v>
      </c>
      <c r="G26" s="91" t="n">
        <f aca="false">E26*0.5</f>
        <v>0</v>
      </c>
      <c r="H26" s="63" t="s">
        <v>507</v>
      </c>
      <c r="I26" s="74" t="n">
        <v>0</v>
      </c>
      <c r="J26" s="92" t="n">
        <f aca="false">E26*(1-I26)</f>
        <v>0</v>
      </c>
    </row>
    <row r="27" customFormat="false" ht="15" hidden="false" customHeight="true" outlineLevel="0" collapsed="false">
      <c r="A27" s="62" t="s">
        <v>289</v>
      </c>
      <c r="B27" s="62" t="s">
        <v>793</v>
      </c>
      <c r="C27" s="90" t="n">
        <v>0</v>
      </c>
      <c r="D27" s="91" t="n">
        <f aca="false">IF(C27&lt;50000,C27,C27*0.6)</f>
        <v>0</v>
      </c>
      <c r="E27" s="91" t="n">
        <f aca="false">IF(C27&lt;50000,0,C27*0.4)</f>
        <v>0</v>
      </c>
      <c r="F27" s="91" t="n">
        <f aca="false">E27*0.5</f>
        <v>0</v>
      </c>
      <c r="G27" s="91" t="n">
        <f aca="false">E27*0.5</f>
        <v>0</v>
      </c>
      <c r="H27" s="63" t="s">
        <v>507</v>
      </c>
      <c r="I27" s="74" t="n">
        <v>0</v>
      </c>
      <c r="J27" s="92" t="n">
        <f aca="false">E27*(1-I27)</f>
        <v>0</v>
      </c>
    </row>
    <row r="28" customFormat="false" ht="15" hidden="false" customHeight="true" outlineLevel="0" collapsed="false">
      <c r="A28" s="62" t="s">
        <v>148</v>
      </c>
      <c r="B28" s="62" t="s">
        <v>795</v>
      </c>
      <c r="C28" s="90" t="n">
        <v>0</v>
      </c>
      <c r="D28" s="91" t="n">
        <f aca="false">IF(C28&lt;50000,C28,C28*0.6)</f>
        <v>0</v>
      </c>
      <c r="E28" s="91" t="n">
        <f aca="false">IF(C28&lt;50000,0,C28*0.4)</f>
        <v>0</v>
      </c>
      <c r="F28" s="91" t="n">
        <f aca="false">E28*0.5</f>
        <v>0</v>
      </c>
      <c r="G28" s="91" t="n">
        <f aca="false">E28*0.5</f>
        <v>0</v>
      </c>
      <c r="H28" s="63" t="s">
        <v>507</v>
      </c>
      <c r="I28" s="74" t="n">
        <v>0</v>
      </c>
      <c r="J28" s="92" t="n">
        <f aca="false">E28*(1-I28)</f>
        <v>0</v>
      </c>
    </row>
    <row r="29" customFormat="false" ht="15" hidden="false" customHeight="true" outlineLevel="0" collapsed="false">
      <c r="A29" s="62" t="s">
        <v>142</v>
      </c>
      <c r="B29" s="62" t="s">
        <v>795</v>
      </c>
      <c r="C29" s="90" t="n">
        <v>0</v>
      </c>
      <c r="D29" s="91" t="n">
        <f aca="false">IF(C29&lt;50000,C29,C29*0.6)</f>
        <v>0</v>
      </c>
      <c r="E29" s="91" t="n">
        <f aca="false">IF(C29&lt;50000,0,C29*0.4)</f>
        <v>0</v>
      </c>
      <c r="F29" s="91" t="n">
        <f aca="false">E29*0.5</f>
        <v>0</v>
      </c>
      <c r="G29" s="91" t="n">
        <f aca="false">E29*0.5</f>
        <v>0</v>
      </c>
      <c r="H29" s="63" t="s">
        <v>507</v>
      </c>
      <c r="I29" s="74" t="n">
        <v>0</v>
      </c>
      <c r="J29" s="92" t="n">
        <f aca="false">E29*(1-I29)</f>
        <v>0</v>
      </c>
    </row>
    <row r="30" customFormat="false" ht="15" hidden="false" customHeight="true" outlineLevel="0" collapsed="false">
      <c r="A30" s="62" t="s">
        <v>256</v>
      </c>
      <c r="B30" s="62" t="s">
        <v>795</v>
      </c>
      <c r="C30" s="90" t="n">
        <v>0</v>
      </c>
      <c r="D30" s="91" t="n">
        <f aca="false">IF(C30&lt;50000,C30,C30*0.6)</f>
        <v>0</v>
      </c>
      <c r="E30" s="91" t="n">
        <f aca="false">IF(C30&lt;50000,0,C30*0.4)</f>
        <v>0</v>
      </c>
      <c r="F30" s="91" t="n">
        <f aca="false">E30*0.5</f>
        <v>0</v>
      </c>
      <c r="G30" s="91" t="n">
        <f aca="false">E30*0.5</f>
        <v>0</v>
      </c>
      <c r="H30" s="63" t="s">
        <v>507</v>
      </c>
      <c r="I30" s="74" t="n">
        <v>0</v>
      </c>
      <c r="J30" s="92" t="n">
        <f aca="false">E30*(1-I30)</f>
        <v>0</v>
      </c>
    </row>
    <row r="31" customFormat="false" ht="15" hidden="false" customHeight="true" outlineLevel="0" collapsed="false">
      <c r="A31" s="62" t="s">
        <v>136</v>
      </c>
      <c r="B31" s="62" t="s">
        <v>797</v>
      </c>
      <c r="C31" s="90" t="n">
        <v>0</v>
      </c>
      <c r="D31" s="91" t="n">
        <f aca="false">IF(C31&lt;50000,C31,C31*0.6)</f>
        <v>0</v>
      </c>
      <c r="E31" s="91" t="n">
        <f aca="false">IF(C31&lt;50000,0,C31*0.4)</f>
        <v>0</v>
      </c>
      <c r="F31" s="91" t="n">
        <f aca="false">E31*0.5</f>
        <v>0</v>
      </c>
      <c r="G31" s="91" t="n">
        <f aca="false">E31*0.5</f>
        <v>0</v>
      </c>
      <c r="H31" s="63" t="s">
        <v>507</v>
      </c>
      <c r="I31" s="74" t="n">
        <v>0</v>
      </c>
      <c r="J31" s="92" t="n">
        <f aca="false">E31*(1-I31)</f>
        <v>0</v>
      </c>
    </row>
    <row r="32" customFormat="false" ht="15" hidden="false" customHeight="true" outlineLevel="0" collapsed="false">
      <c r="A32" s="62" t="s">
        <v>281</v>
      </c>
      <c r="B32" s="62" t="s">
        <v>797</v>
      </c>
      <c r="C32" s="90" t="n">
        <v>0</v>
      </c>
      <c r="D32" s="91" t="n">
        <f aca="false">IF(C32&lt;50000,C32,C32*0.6)</f>
        <v>0</v>
      </c>
      <c r="E32" s="91" t="n">
        <f aca="false">IF(C32&lt;50000,0,C32*0.4)</f>
        <v>0</v>
      </c>
      <c r="F32" s="91" t="n">
        <f aca="false">E32*0.5</f>
        <v>0</v>
      </c>
      <c r="G32" s="91" t="n">
        <f aca="false">E32*0.5</f>
        <v>0</v>
      </c>
      <c r="H32" s="63" t="s">
        <v>507</v>
      </c>
      <c r="I32" s="74" t="n">
        <v>0</v>
      </c>
      <c r="J32" s="92" t="n">
        <f aca="false">E32*(1-I32)</f>
        <v>0</v>
      </c>
    </row>
    <row r="33" customFormat="false" ht="15" hidden="false" customHeight="true" outlineLevel="0" collapsed="false">
      <c r="A33" s="69" t="s">
        <v>480</v>
      </c>
      <c r="B33" s="70"/>
      <c r="C33" s="93" t="n">
        <f aca="false">SUM(C26:C32)</f>
        <v>0</v>
      </c>
      <c r="D33" s="93" t="n">
        <f aca="false">SUM(D26:D32)</f>
        <v>0</v>
      </c>
      <c r="E33" s="93" t="n">
        <f aca="false">SUM(E26:E32)</f>
        <v>0</v>
      </c>
      <c r="F33" s="93" t="n">
        <f aca="false">SUM(F26:F32)</f>
        <v>0</v>
      </c>
      <c r="G33" s="93" t="n">
        <f aca="false">SUM(G26:G32)</f>
        <v>0</v>
      </c>
      <c r="H33" s="70"/>
      <c r="I33" s="70"/>
      <c r="J33" s="93" t="n">
        <f aca="false">SUM(J26:J32)</f>
        <v>0</v>
      </c>
    </row>
  </sheetData>
  <mergeCells count="4">
    <mergeCell ref="A1:J1"/>
    <mergeCell ref="A3:F3"/>
    <mergeCell ref="A13:F13"/>
    <mergeCell ref="A24:J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0" width="24"/>
    <col collapsed="false" customWidth="true" hidden="false" outlineLevel="0" max="5" min="2" style="20" width="16"/>
    <col collapsed="false" customWidth="true" hidden="false" outlineLevel="0" max="6" min="6" style="20" width="18"/>
    <col collapsed="false" customWidth="true" hidden="false" outlineLevel="0" max="8" min="7" style="20" width="16"/>
    <col collapsed="false" customWidth="true" hidden="false" outlineLevel="0" max="9" min="9" style="20" width="14"/>
  </cols>
  <sheetData>
    <row r="1" customFormat="false" ht="15.75" hidden="false" customHeight="true" outlineLevel="0" collapsed="false">
      <c r="A1" s="59" t="s">
        <v>947</v>
      </c>
      <c r="B1" s="59"/>
      <c r="C1" s="59"/>
      <c r="D1" s="59"/>
      <c r="E1" s="59"/>
      <c r="F1" s="59"/>
      <c r="G1" s="59"/>
      <c r="H1" s="59"/>
      <c r="I1" s="59"/>
    </row>
    <row r="3" customFormat="false" ht="15" hidden="false" customHeight="true" outlineLevel="0" collapsed="false">
      <c r="A3" s="60" t="s">
        <v>948</v>
      </c>
      <c r="B3" s="60"/>
      <c r="C3" s="60"/>
      <c r="D3" s="60"/>
      <c r="E3" s="60"/>
      <c r="F3" s="60"/>
    </row>
    <row r="4" customFormat="false" ht="15" hidden="false" customHeight="true" outlineLevel="0" collapsed="false">
      <c r="A4" s="61" t="s">
        <v>3</v>
      </c>
      <c r="B4" s="61" t="s">
        <v>949</v>
      </c>
      <c r="C4" s="61" t="s">
        <v>950</v>
      </c>
      <c r="D4" s="61" t="s">
        <v>951</v>
      </c>
      <c r="E4" s="61" t="s">
        <v>952</v>
      </c>
      <c r="F4" s="61" t="s">
        <v>953</v>
      </c>
    </row>
    <row r="5" customFormat="false" ht="15" hidden="false" customHeight="true" outlineLevel="0" collapsed="false">
      <c r="A5" s="94" t="s">
        <v>954</v>
      </c>
      <c r="B5" s="62" t="s">
        <v>955</v>
      </c>
      <c r="C5" s="95" t="n">
        <v>5000</v>
      </c>
      <c r="D5" s="62" t="s">
        <v>956</v>
      </c>
      <c r="E5" s="62" t="s">
        <v>957</v>
      </c>
      <c r="F5" s="62" t="s">
        <v>958</v>
      </c>
    </row>
    <row r="6" customFormat="false" ht="15" hidden="false" customHeight="true" outlineLevel="0" collapsed="false">
      <c r="A6" s="96" t="s">
        <v>959</v>
      </c>
      <c r="B6" s="62" t="s">
        <v>960</v>
      </c>
      <c r="C6" s="95" t="n">
        <v>15000</v>
      </c>
      <c r="D6" s="62" t="s">
        <v>956</v>
      </c>
      <c r="E6" s="62" t="s">
        <v>957</v>
      </c>
      <c r="F6" s="62" t="s">
        <v>961</v>
      </c>
    </row>
    <row r="7" customFormat="false" ht="15" hidden="false" customHeight="true" outlineLevel="0" collapsed="false">
      <c r="A7" s="97" t="s">
        <v>962</v>
      </c>
      <c r="B7" s="62" t="s">
        <v>963</v>
      </c>
      <c r="C7" s="95" t="n">
        <v>35000</v>
      </c>
      <c r="D7" s="62" t="s">
        <v>956</v>
      </c>
      <c r="E7" s="62" t="s">
        <v>964</v>
      </c>
      <c r="F7" s="62" t="s">
        <v>965</v>
      </c>
    </row>
    <row r="8" customFormat="false" ht="15" hidden="false" customHeight="true" outlineLevel="0" collapsed="false">
      <c r="A8" s="76" t="s">
        <v>966</v>
      </c>
      <c r="B8" s="62" t="s">
        <v>967</v>
      </c>
      <c r="C8" s="95" t="n">
        <v>60000</v>
      </c>
      <c r="D8" s="62" t="s">
        <v>956</v>
      </c>
      <c r="E8" s="62" t="s">
        <v>968</v>
      </c>
      <c r="F8" s="62" t="s">
        <v>969</v>
      </c>
    </row>
    <row r="9" customFormat="false" ht="15" hidden="false" customHeight="true" outlineLevel="0" collapsed="false">
      <c r="A9" s="79" t="s">
        <v>970</v>
      </c>
      <c r="B9" s="62" t="s">
        <v>971</v>
      </c>
      <c r="C9" s="95" t="n">
        <v>100000</v>
      </c>
      <c r="D9" s="62" t="s">
        <v>956</v>
      </c>
      <c r="E9" s="62" t="s">
        <v>972</v>
      </c>
      <c r="F9" s="62" t="s">
        <v>973</v>
      </c>
    </row>
    <row r="12" customFormat="false" ht="15" hidden="false" customHeight="true" outlineLevel="0" collapsed="false">
      <c r="A12" s="60" t="s">
        <v>974</v>
      </c>
      <c r="B12" s="60"/>
      <c r="C12" s="60"/>
      <c r="D12" s="60"/>
      <c r="E12" s="60"/>
    </row>
    <row r="13" customFormat="false" ht="15" hidden="false" customHeight="true" outlineLevel="0" collapsed="false">
      <c r="A13" s="61" t="s">
        <v>975</v>
      </c>
      <c r="B13" s="61" t="s">
        <v>976</v>
      </c>
      <c r="C13" s="61" t="s">
        <v>977</v>
      </c>
    </row>
    <row r="14" customFormat="false" ht="15" hidden="false" customHeight="true" outlineLevel="0" collapsed="false">
      <c r="A14" s="62" t="s">
        <v>978</v>
      </c>
      <c r="B14" s="62" t="s">
        <v>502</v>
      </c>
      <c r="C14" s="62" t="s">
        <v>979</v>
      </c>
    </row>
    <row r="15" customFormat="false" ht="15" hidden="false" customHeight="true" outlineLevel="0" collapsed="false">
      <c r="A15" s="62" t="s">
        <v>980</v>
      </c>
      <c r="B15" s="62" t="s">
        <v>502</v>
      </c>
      <c r="C15" s="62" t="s">
        <v>981</v>
      </c>
    </row>
    <row r="16" customFormat="false" ht="15" hidden="false" customHeight="true" outlineLevel="0" collapsed="false">
      <c r="A16" s="62" t="s">
        <v>982</v>
      </c>
      <c r="B16" s="62" t="s">
        <v>502</v>
      </c>
      <c r="C16" s="62" t="s">
        <v>983</v>
      </c>
    </row>
    <row r="17" customFormat="false" ht="15" hidden="false" customHeight="true" outlineLevel="0" collapsed="false">
      <c r="A17" s="62" t="s">
        <v>984</v>
      </c>
      <c r="B17" s="62" t="s">
        <v>502</v>
      </c>
      <c r="C17" s="62" t="s">
        <v>985</v>
      </c>
    </row>
    <row r="18" customFormat="false" ht="15" hidden="false" customHeight="true" outlineLevel="0" collapsed="false">
      <c r="A18" s="62" t="s">
        <v>986</v>
      </c>
      <c r="B18" s="62" t="s">
        <v>502</v>
      </c>
      <c r="C18" s="62" t="s">
        <v>987</v>
      </c>
    </row>
    <row r="19" customFormat="false" ht="15" hidden="false" customHeight="true" outlineLevel="0" collapsed="false">
      <c r="A19" s="62" t="s">
        <v>988</v>
      </c>
      <c r="B19" s="62" t="s">
        <v>502</v>
      </c>
      <c r="C19" s="62" t="s">
        <v>989</v>
      </c>
    </row>
    <row r="20" customFormat="false" ht="15" hidden="false" customHeight="true" outlineLevel="0" collapsed="false">
      <c r="A20" s="62" t="s">
        <v>990</v>
      </c>
      <c r="B20" s="62" t="s">
        <v>507</v>
      </c>
      <c r="C20" s="62" t="s">
        <v>991</v>
      </c>
    </row>
    <row r="21" customFormat="false" ht="15" hidden="false" customHeight="true" outlineLevel="0" collapsed="false">
      <c r="A21" s="62" t="s">
        <v>992</v>
      </c>
      <c r="B21" s="62" t="s">
        <v>993</v>
      </c>
      <c r="C21" s="62" t="s">
        <v>994</v>
      </c>
    </row>
    <row r="22" customFormat="false" ht="15" hidden="false" customHeight="true" outlineLevel="0" collapsed="false">
      <c r="A22" s="62" t="s">
        <v>995</v>
      </c>
      <c r="B22" s="62" t="s">
        <v>993</v>
      </c>
      <c r="C22" s="62" t="s">
        <v>996</v>
      </c>
    </row>
    <row r="25" customFormat="false" ht="15" hidden="false" customHeight="true" outlineLevel="0" collapsed="false">
      <c r="A25" s="60" t="s">
        <v>997</v>
      </c>
      <c r="B25" s="60"/>
      <c r="C25" s="60"/>
      <c r="D25" s="60"/>
      <c r="E25" s="60"/>
      <c r="F25" s="60"/>
      <c r="G25" s="60"/>
      <c r="H25" s="60"/>
      <c r="I25" s="60"/>
    </row>
    <row r="26" customFormat="false" ht="26.25" hidden="false" customHeight="true" outlineLevel="0" collapsed="false">
      <c r="A26" s="65" t="s">
        <v>112</v>
      </c>
      <c r="B26" s="65" t="s">
        <v>998</v>
      </c>
      <c r="C26" s="65" t="s">
        <v>999</v>
      </c>
      <c r="D26" s="65" t="s">
        <v>1000</v>
      </c>
      <c r="E26" s="65" t="s">
        <v>1001</v>
      </c>
      <c r="F26" s="65" t="s">
        <v>1002</v>
      </c>
      <c r="G26" s="65" t="s">
        <v>3</v>
      </c>
      <c r="H26" s="65" t="s">
        <v>950</v>
      </c>
      <c r="I26" s="65" t="s">
        <v>1003</v>
      </c>
    </row>
    <row r="27" customFormat="false" ht="15" hidden="false" customHeight="true" outlineLevel="0" collapsed="false">
      <c r="A27" s="62" t="s">
        <v>133</v>
      </c>
      <c r="B27" s="90" t="n">
        <v>0</v>
      </c>
      <c r="C27" s="90" t="n">
        <v>0</v>
      </c>
      <c r="D27" s="90" t="n">
        <v>0</v>
      </c>
      <c r="E27" s="90" t="n">
        <v>0</v>
      </c>
      <c r="F27" s="92" t="n">
        <f aca="false">SUM(B27:E27)</f>
        <v>0</v>
      </c>
      <c r="G27" s="62" t="str">
        <f aca="false">IF(F27&gt;=5000000,"Diamond",IF(F27&gt;=3000000,"Platinum",IF(F27&gt;=1500000,"Gold",IF(F27&gt;=500000,"Silver",IF(F27&gt;=100000,"Bronze","Below Threshold")))))</f>
        <v>Below Threshold</v>
      </c>
      <c r="H27" s="98" t="n">
        <f aca="false">IF(G27="Diamond",100000,IF(G27="Platinum",60000,IF(G27="Gold",35000,IF(G27="Silver",15000,IF(G27="Bronze",5000,0)))))</f>
        <v>0</v>
      </c>
      <c r="I27" s="63" t="s">
        <v>1004</v>
      </c>
    </row>
    <row r="28" customFormat="false" ht="15" hidden="false" customHeight="true" outlineLevel="0" collapsed="false">
      <c r="A28" s="62" t="s">
        <v>136</v>
      </c>
      <c r="B28" s="90" t="n">
        <v>0</v>
      </c>
      <c r="C28" s="90" t="n">
        <v>0</v>
      </c>
      <c r="D28" s="90" t="n">
        <v>0</v>
      </c>
      <c r="E28" s="90" t="n">
        <v>0</v>
      </c>
      <c r="F28" s="92" t="n">
        <f aca="false">SUM(B28:E28)</f>
        <v>0</v>
      </c>
      <c r="G28" s="62" t="str">
        <f aca="false">IF(F28&gt;=5000000,"Diamond",IF(F28&gt;=3000000,"Platinum",IF(F28&gt;=1500000,"Gold",IF(F28&gt;=500000,"Silver",IF(F28&gt;=100000,"Bronze","Below Threshold")))))</f>
        <v>Below Threshold</v>
      </c>
      <c r="H28" s="98" t="n">
        <f aca="false">IF(G28="Diamond",100000,IF(G28="Platinum",60000,IF(G28="Gold",35000,IF(G28="Silver",15000,IF(G28="Bronze",5000,0)))))</f>
        <v>0</v>
      </c>
      <c r="I28" s="63" t="s">
        <v>1004</v>
      </c>
    </row>
    <row r="29" customFormat="false" ht="15" hidden="false" customHeight="true" outlineLevel="0" collapsed="false">
      <c r="A29" s="62" t="s">
        <v>137</v>
      </c>
      <c r="B29" s="90" t="n">
        <v>0</v>
      </c>
      <c r="C29" s="90" t="n">
        <v>0</v>
      </c>
      <c r="D29" s="90" t="n">
        <v>0</v>
      </c>
      <c r="E29" s="90" t="n">
        <v>0</v>
      </c>
      <c r="F29" s="92" t="n">
        <f aca="false">SUM(B29:E29)</f>
        <v>0</v>
      </c>
      <c r="G29" s="62" t="str">
        <f aca="false">IF(F29&gt;=5000000,"Diamond",IF(F29&gt;=3000000,"Platinum",IF(F29&gt;=1500000,"Gold",IF(F29&gt;=500000,"Silver",IF(F29&gt;=100000,"Bronze","Below Threshold")))))</f>
        <v>Below Threshold</v>
      </c>
      <c r="H29" s="98" t="n">
        <f aca="false">IF(G29="Diamond",100000,IF(G29="Platinum",60000,IF(G29="Gold",35000,IF(G29="Silver",15000,IF(G29="Bronze",5000,0)))))</f>
        <v>0</v>
      </c>
      <c r="I29" s="63" t="s">
        <v>1004</v>
      </c>
    </row>
    <row r="30" customFormat="false" ht="15" hidden="false" customHeight="true" outlineLevel="0" collapsed="false">
      <c r="A30" s="62" t="s">
        <v>139</v>
      </c>
      <c r="B30" s="90" t="n">
        <v>0</v>
      </c>
      <c r="C30" s="90" t="n">
        <v>0</v>
      </c>
      <c r="D30" s="90" t="n">
        <v>0</v>
      </c>
      <c r="E30" s="90" t="n">
        <v>0</v>
      </c>
      <c r="F30" s="92" t="n">
        <f aca="false">SUM(B30:E30)</f>
        <v>0</v>
      </c>
      <c r="G30" s="62" t="str">
        <f aca="false">IF(F30&gt;=5000000,"Diamond",IF(F30&gt;=3000000,"Platinum",IF(F30&gt;=1500000,"Gold",IF(F30&gt;=500000,"Silver",IF(F30&gt;=100000,"Bronze","Below Threshold")))))</f>
        <v>Below Threshold</v>
      </c>
      <c r="H30" s="98" t="n">
        <f aca="false">IF(G30="Diamond",100000,IF(G30="Platinum",60000,IF(G30="Gold",35000,IF(G30="Silver",15000,IF(G30="Bronze",5000,0)))))</f>
        <v>0</v>
      </c>
      <c r="I30" s="63" t="s">
        <v>1004</v>
      </c>
    </row>
    <row r="31" customFormat="false" ht="15" hidden="false" customHeight="true" outlineLevel="0" collapsed="false">
      <c r="A31" s="62" t="s">
        <v>140</v>
      </c>
      <c r="B31" s="90" t="n">
        <v>0</v>
      </c>
      <c r="C31" s="90" t="n">
        <v>0</v>
      </c>
      <c r="D31" s="90" t="n">
        <v>0</v>
      </c>
      <c r="E31" s="90" t="n">
        <v>0</v>
      </c>
      <c r="F31" s="92" t="n">
        <f aca="false">SUM(B31:E31)</f>
        <v>0</v>
      </c>
      <c r="G31" s="62" t="str">
        <f aca="false">IF(F31&gt;=5000000,"Diamond",IF(F31&gt;=3000000,"Platinum",IF(F31&gt;=1500000,"Gold",IF(F31&gt;=500000,"Silver",IF(F31&gt;=100000,"Bronze","Below Threshold")))))</f>
        <v>Below Threshold</v>
      </c>
      <c r="H31" s="98" t="n">
        <f aca="false">IF(G31="Diamond",100000,IF(G31="Platinum",60000,IF(G31="Gold",35000,IF(G31="Silver",15000,IF(G31="Bronze",5000,0)))))</f>
        <v>0</v>
      </c>
      <c r="I31" s="63" t="s">
        <v>1004</v>
      </c>
    </row>
    <row r="32" customFormat="false" ht="15" hidden="false" customHeight="true" outlineLevel="0" collapsed="false">
      <c r="A32" s="62" t="s">
        <v>142</v>
      </c>
      <c r="B32" s="90" t="n">
        <v>0</v>
      </c>
      <c r="C32" s="90" t="n">
        <v>0</v>
      </c>
      <c r="D32" s="90" t="n">
        <v>0</v>
      </c>
      <c r="E32" s="90" t="n">
        <v>0</v>
      </c>
      <c r="F32" s="92" t="n">
        <f aca="false">SUM(B32:E32)</f>
        <v>0</v>
      </c>
      <c r="G32" s="62" t="str">
        <f aca="false">IF(F32&gt;=5000000,"Diamond",IF(F32&gt;=3000000,"Platinum",IF(F32&gt;=1500000,"Gold",IF(F32&gt;=500000,"Silver",IF(F32&gt;=100000,"Bronze","Below Threshold")))))</f>
        <v>Below Threshold</v>
      </c>
      <c r="H32" s="98" t="n">
        <f aca="false">IF(G32="Diamond",100000,IF(G32="Platinum",60000,IF(G32="Gold",35000,IF(G32="Silver",15000,IF(G32="Bronze",5000,0)))))</f>
        <v>0</v>
      </c>
      <c r="I32" s="63" t="s">
        <v>1004</v>
      </c>
    </row>
    <row r="33" customFormat="false" ht="15" hidden="false" customHeight="true" outlineLevel="0" collapsed="false">
      <c r="A33" s="62" t="s">
        <v>146</v>
      </c>
      <c r="B33" s="90" t="n">
        <v>0</v>
      </c>
      <c r="C33" s="90" t="n">
        <v>0</v>
      </c>
      <c r="D33" s="90" t="n">
        <v>0</v>
      </c>
      <c r="E33" s="90" t="n">
        <v>0</v>
      </c>
      <c r="F33" s="92" t="n">
        <f aca="false">SUM(B33:E33)</f>
        <v>0</v>
      </c>
      <c r="G33" s="62" t="str">
        <f aca="false">IF(F33&gt;=5000000,"Diamond",IF(F33&gt;=3000000,"Platinum",IF(F33&gt;=1500000,"Gold",IF(F33&gt;=500000,"Silver",IF(F33&gt;=100000,"Bronze","Below Threshold")))))</f>
        <v>Below Threshold</v>
      </c>
      <c r="H33" s="98" t="n">
        <f aca="false">IF(G33="Diamond",100000,IF(G33="Platinum",60000,IF(G33="Gold",35000,IF(G33="Silver",15000,IF(G33="Bronze",5000,0)))))</f>
        <v>0</v>
      </c>
      <c r="I33" s="63" t="s">
        <v>1004</v>
      </c>
    </row>
    <row r="34" customFormat="false" ht="15" hidden="false" customHeight="true" outlineLevel="0" collapsed="false">
      <c r="A34" s="62" t="s">
        <v>148</v>
      </c>
      <c r="B34" s="90" t="n">
        <v>0</v>
      </c>
      <c r="C34" s="90" t="n">
        <v>0</v>
      </c>
      <c r="D34" s="90" t="n">
        <v>0</v>
      </c>
      <c r="E34" s="90" t="n">
        <v>0</v>
      </c>
      <c r="F34" s="92" t="n">
        <f aca="false">SUM(B34:E34)</f>
        <v>0</v>
      </c>
      <c r="G34" s="62" t="str">
        <f aca="false">IF(F34&gt;=5000000,"Diamond",IF(F34&gt;=3000000,"Platinum",IF(F34&gt;=1500000,"Gold",IF(F34&gt;=500000,"Silver",IF(F34&gt;=100000,"Bronze","Below Threshold")))))</f>
        <v>Below Threshold</v>
      </c>
      <c r="H34" s="98" t="n">
        <f aca="false">IF(G34="Diamond",100000,IF(G34="Platinum",60000,IF(G34="Gold",35000,IF(G34="Silver",15000,IF(G34="Bronze",5000,0)))))</f>
        <v>0</v>
      </c>
      <c r="I34" s="63" t="s">
        <v>1004</v>
      </c>
    </row>
    <row r="35" customFormat="false" ht="15" hidden="false" customHeight="true" outlineLevel="0" collapsed="false">
      <c r="A35" s="62" t="s">
        <v>151</v>
      </c>
      <c r="B35" s="90" t="n">
        <v>0</v>
      </c>
      <c r="C35" s="90" t="n">
        <v>0</v>
      </c>
      <c r="D35" s="90" t="n">
        <v>0</v>
      </c>
      <c r="E35" s="90" t="n">
        <v>0</v>
      </c>
      <c r="F35" s="92" t="n">
        <f aca="false">SUM(B35:E35)</f>
        <v>0</v>
      </c>
      <c r="G35" s="62" t="str">
        <f aca="false">IF(F35&gt;=5000000,"Diamond",IF(F35&gt;=3000000,"Platinum",IF(F35&gt;=1500000,"Gold",IF(F35&gt;=500000,"Silver",IF(F35&gt;=100000,"Bronze","Below Threshold")))))</f>
        <v>Below Threshold</v>
      </c>
      <c r="H35" s="98" t="n">
        <f aca="false">IF(G35="Diamond",100000,IF(G35="Platinum",60000,IF(G35="Gold",35000,IF(G35="Silver",15000,IF(G35="Bronze",5000,0)))))</f>
        <v>0</v>
      </c>
      <c r="I35" s="63" t="s">
        <v>1004</v>
      </c>
    </row>
    <row r="36" customFormat="false" ht="15" hidden="false" customHeight="true" outlineLevel="0" collapsed="false">
      <c r="A36" s="62" t="s">
        <v>153</v>
      </c>
      <c r="B36" s="90" t="n">
        <v>0</v>
      </c>
      <c r="C36" s="90" t="n">
        <v>0</v>
      </c>
      <c r="D36" s="90" t="n">
        <v>0</v>
      </c>
      <c r="E36" s="90" t="n">
        <v>0</v>
      </c>
      <c r="F36" s="92" t="n">
        <f aca="false">SUM(B36:E36)</f>
        <v>0</v>
      </c>
      <c r="G36" s="62" t="str">
        <f aca="false">IF(F36&gt;=5000000,"Diamond",IF(F36&gt;=3000000,"Platinum",IF(F36&gt;=1500000,"Gold",IF(F36&gt;=500000,"Silver",IF(F36&gt;=100000,"Bronze","Below Threshold")))))</f>
        <v>Below Threshold</v>
      </c>
      <c r="H36" s="98" t="n">
        <f aca="false">IF(G36="Diamond",100000,IF(G36="Platinum",60000,IF(G36="Gold",35000,IF(G36="Silver",15000,IF(G36="Bronze",5000,0)))))</f>
        <v>0</v>
      </c>
      <c r="I36" s="63" t="s">
        <v>1004</v>
      </c>
    </row>
    <row r="37" customFormat="false" ht="15" hidden="false" customHeight="true" outlineLevel="0" collapsed="false">
      <c r="A37" s="62" t="s">
        <v>225</v>
      </c>
      <c r="B37" s="90" t="n">
        <v>0</v>
      </c>
      <c r="C37" s="90" t="n">
        <v>0</v>
      </c>
      <c r="D37" s="90" t="n">
        <v>0</v>
      </c>
      <c r="E37" s="90" t="n">
        <v>0</v>
      </c>
      <c r="F37" s="92" t="n">
        <f aca="false">SUM(B37:E37)</f>
        <v>0</v>
      </c>
      <c r="G37" s="62" t="str">
        <f aca="false">IF(F37&gt;=5000000,"Diamond",IF(F37&gt;=3000000,"Platinum",IF(F37&gt;=1500000,"Gold",IF(F37&gt;=500000,"Silver",IF(F37&gt;=100000,"Bronze","Below Threshold")))))</f>
        <v>Below Threshold</v>
      </c>
      <c r="H37" s="98" t="n">
        <f aca="false">IF(G37="Diamond",100000,IF(G37="Platinum",60000,IF(G37="Gold",35000,IF(G37="Silver",15000,IF(G37="Bronze",5000,0)))))</f>
        <v>0</v>
      </c>
      <c r="I37" s="63" t="s">
        <v>1004</v>
      </c>
    </row>
    <row r="38" customFormat="false" ht="15" hidden="false" customHeight="true" outlineLevel="0" collapsed="false">
      <c r="A38" s="62" t="s">
        <v>227</v>
      </c>
      <c r="B38" s="90" t="n">
        <v>0</v>
      </c>
      <c r="C38" s="90" t="n">
        <v>0</v>
      </c>
      <c r="D38" s="90" t="n">
        <v>0</v>
      </c>
      <c r="E38" s="90" t="n">
        <v>0</v>
      </c>
      <c r="F38" s="92" t="n">
        <f aca="false">SUM(B38:E38)</f>
        <v>0</v>
      </c>
      <c r="G38" s="62" t="str">
        <f aca="false">IF(F38&gt;=5000000,"Diamond",IF(F38&gt;=3000000,"Platinum",IF(F38&gt;=1500000,"Gold",IF(F38&gt;=500000,"Silver",IF(F38&gt;=100000,"Bronze","Below Threshold")))))</f>
        <v>Below Threshold</v>
      </c>
      <c r="H38" s="98" t="n">
        <f aca="false">IF(G38="Diamond",100000,IF(G38="Platinum",60000,IF(G38="Gold",35000,IF(G38="Silver",15000,IF(G38="Bronze",5000,0)))))</f>
        <v>0</v>
      </c>
      <c r="I38" s="63" t="s">
        <v>1004</v>
      </c>
    </row>
    <row r="39" customFormat="false" ht="15" hidden="false" customHeight="true" outlineLevel="0" collapsed="false">
      <c r="A39" s="62" t="s">
        <v>231</v>
      </c>
      <c r="B39" s="90" t="n">
        <v>0</v>
      </c>
      <c r="C39" s="90" t="n">
        <v>0</v>
      </c>
      <c r="D39" s="90" t="n">
        <v>0</v>
      </c>
      <c r="E39" s="90" t="n">
        <v>0</v>
      </c>
      <c r="F39" s="92" t="n">
        <f aca="false">SUM(B39:E39)</f>
        <v>0</v>
      </c>
      <c r="G39" s="62" t="str">
        <f aca="false">IF(F39&gt;=5000000,"Diamond",IF(F39&gt;=3000000,"Platinum",IF(F39&gt;=1500000,"Gold",IF(F39&gt;=500000,"Silver",IF(F39&gt;=100000,"Bronze","Below Threshold")))))</f>
        <v>Below Threshold</v>
      </c>
      <c r="H39" s="98" t="n">
        <f aca="false">IF(G39="Diamond",100000,IF(G39="Platinum",60000,IF(G39="Gold",35000,IF(G39="Silver",15000,IF(G39="Bronze",5000,0)))))</f>
        <v>0</v>
      </c>
      <c r="I39" s="63" t="s">
        <v>1004</v>
      </c>
    </row>
    <row r="40" customFormat="false" ht="15" hidden="false" customHeight="true" outlineLevel="0" collapsed="false">
      <c r="A40" s="62" t="s">
        <v>238</v>
      </c>
      <c r="B40" s="90" t="n">
        <v>0</v>
      </c>
      <c r="C40" s="90" t="n">
        <v>0</v>
      </c>
      <c r="D40" s="90" t="n">
        <v>0</v>
      </c>
      <c r="E40" s="90" t="n">
        <v>0</v>
      </c>
      <c r="F40" s="92" t="n">
        <f aca="false">SUM(B40:E40)</f>
        <v>0</v>
      </c>
      <c r="G40" s="62" t="str">
        <f aca="false">IF(F40&gt;=5000000,"Diamond",IF(F40&gt;=3000000,"Platinum",IF(F40&gt;=1500000,"Gold",IF(F40&gt;=500000,"Silver",IF(F40&gt;=100000,"Bronze","Below Threshold")))))</f>
        <v>Below Threshold</v>
      </c>
      <c r="H40" s="98" t="n">
        <f aca="false">IF(G40="Diamond",100000,IF(G40="Platinum",60000,IF(G40="Gold",35000,IF(G40="Silver",15000,IF(G40="Bronze",5000,0)))))</f>
        <v>0</v>
      </c>
      <c r="I40" s="63" t="s">
        <v>1004</v>
      </c>
    </row>
    <row r="41" customFormat="false" ht="15" hidden="false" customHeight="true" outlineLevel="0" collapsed="false">
      <c r="A41" s="62" t="s">
        <v>241</v>
      </c>
      <c r="B41" s="90" t="n">
        <v>0</v>
      </c>
      <c r="C41" s="90" t="n">
        <v>0</v>
      </c>
      <c r="D41" s="90" t="n">
        <v>0</v>
      </c>
      <c r="E41" s="90" t="n">
        <v>0</v>
      </c>
      <c r="F41" s="92" t="n">
        <f aca="false">SUM(B41:E41)</f>
        <v>0</v>
      </c>
      <c r="G41" s="62" t="str">
        <f aca="false">IF(F41&gt;=5000000,"Diamond",IF(F41&gt;=3000000,"Platinum",IF(F41&gt;=1500000,"Gold",IF(F41&gt;=500000,"Silver",IF(F41&gt;=100000,"Bronze","Below Threshold")))))</f>
        <v>Below Threshold</v>
      </c>
      <c r="H41" s="98" t="n">
        <f aca="false">IF(G41="Diamond",100000,IF(G41="Platinum",60000,IF(G41="Gold",35000,IF(G41="Silver",15000,IF(G41="Bronze",5000,0)))))</f>
        <v>0</v>
      </c>
      <c r="I41" s="63" t="s">
        <v>1004</v>
      </c>
    </row>
    <row r="42" customFormat="false" ht="15" hidden="false" customHeight="true" outlineLevel="0" collapsed="false">
      <c r="A42" s="62" t="s">
        <v>243</v>
      </c>
      <c r="B42" s="90" t="n">
        <v>0</v>
      </c>
      <c r="C42" s="90" t="n">
        <v>0</v>
      </c>
      <c r="D42" s="90" t="n">
        <v>0</v>
      </c>
      <c r="E42" s="90" t="n">
        <v>0</v>
      </c>
      <c r="F42" s="92" t="n">
        <f aca="false">SUM(B42:E42)</f>
        <v>0</v>
      </c>
      <c r="G42" s="62" t="str">
        <f aca="false">IF(F42&gt;=5000000,"Diamond",IF(F42&gt;=3000000,"Platinum",IF(F42&gt;=1500000,"Gold",IF(F42&gt;=500000,"Silver",IF(F42&gt;=100000,"Bronze","Below Threshold")))))</f>
        <v>Below Threshold</v>
      </c>
      <c r="H42" s="98" t="n">
        <f aca="false">IF(G42="Diamond",100000,IF(G42="Platinum",60000,IF(G42="Gold",35000,IF(G42="Silver",15000,IF(G42="Bronze",5000,0)))))</f>
        <v>0</v>
      </c>
      <c r="I42" s="63" t="s">
        <v>1004</v>
      </c>
    </row>
    <row r="43" customFormat="false" ht="15" hidden="false" customHeight="true" outlineLevel="0" collapsed="false">
      <c r="A43" s="62" t="s">
        <v>248</v>
      </c>
      <c r="B43" s="90" t="n">
        <v>0</v>
      </c>
      <c r="C43" s="90" t="n">
        <v>0</v>
      </c>
      <c r="D43" s="90" t="n">
        <v>0</v>
      </c>
      <c r="E43" s="90" t="n">
        <v>0</v>
      </c>
      <c r="F43" s="92" t="n">
        <f aca="false">SUM(B43:E43)</f>
        <v>0</v>
      </c>
      <c r="G43" s="62" t="str">
        <f aca="false">IF(F43&gt;=5000000,"Diamond",IF(F43&gt;=3000000,"Platinum",IF(F43&gt;=1500000,"Gold",IF(F43&gt;=500000,"Silver",IF(F43&gt;=100000,"Bronze","Below Threshold")))))</f>
        <v>Below Threshold</v>
      </c>
      <c r="H43" s="98" t="n">
        <f aca="false">IF(G43="Diamond",100000,IF(G43="Platinum",60000,IF(G43="Gold",35000,IF(G43="Silver",15000,IF(G43="Bronze",5000,0)))))</f>
        <v>0</v>
      </c>
      <c r="I43" s="63" t="s">
        <v>1004</v>
      </c>
    </row>
    <row r="44" customFormat="false" ht="15" hidden="false" customHeight="true" outlineLevel="0" collapsed="false">
      <c r="A44" s="62" t="s">
        <v>253</v>
      </c>
      <c r="B44" s="90" t="n">
        <v>0</v>
      </c>
      <c r="C44" s="90" t="n">
        <v>0</v>
      </c>
      <c r="D44" s="90" t="n">
        <v>0</v>
      </c>
      <c r="E44" s="90" t="n">
        <v>0</v>
      </c>
      <c r="F44" s="92" t="n">
        <f aca="false">SUM(B44:E44)</f>
        <v>0</v>
      </c>
      <c r="G44" s="62" t="str">
        <f aca="false">IF(F44&gt;=5000000,"Diamond",IF(F44&gt;=3000000,"Platinum",IF(F44&gt;=1500000,"Gold",IF(F44&gt;=500000,"Silver",IF(F44&gt;=100000,"Bronze","Below Threshold")))))</f>
        <v>Below Threshold</v>
      </c>
      <c r="H44" s="98" t="n">
        <f aca="false">IF(G44="Diamond",100000,IF(G44="Platinum",60000,IF(G44="Gold",35000,IF(G44="Silver",15000,IF(G44="Bronze",5000,0)))))</f>
        <v>0</v>
      </c>
      <c r="I44" s="63" t="s">
        <v>1004</v>
      </c>
    </row>
    <row r="45" customFormat="false" ht="15" hidden="false" customHeight="true" outlineLevel="0" collapsed="false">
      <c r="A45" s="62" t="s">
        <v>256</v>
      </c>
      <c r="B45" s="90" t="n">
        <v>0</v>
      </c>
      <c r="C45" s="90" t="n">
        <v>0</v>
      </c>
      <c r="D45" s="90" t="n">
        <v>0</v>
      </c>
      <c r="E45" s="90" t="n">
        <v>0</v>
      </c>
      <c r="F45" s="92" t="n">
        <f aca="false">SUM(B45:E45)</f>
        <v>0</v>
      </c>
      <c r="G45" s="62" t="str">
        <f aca="false">IF(F45&gt;=5000000,"Diamond",IF(F45&gt;=3000000,"Platinum",IF(F45&gt;=1500000,"Gold",IF(F45&gt;=500000,"Silver",IF(F45&gt;=100000,"Bronze","Below Threshold")))))</f>
        <v>Below Threshold</v>
      </c>
      <c r="H45" s="98" t="n">
        <f aca="false">IF(G45="Diamond",100000,IF(G45="Platinum",60000,IF(G45="Gold",35000,IF(G45="Silver",15000,IF(G45="Bronze",5000,0)))))</f>
        <v>0</v>
      </c>
      <c r="I45" s="63" t="s">
        <v>1004</v>
      </c>
    </row>
    <row r="46" customFormat="false" ht="15" hidden="false" customHeight="true" outlineLevel="0" collapsed="false">
      <c r="A46" s="62" t="s">
        <v>262</v>
      </c>
      <c r="B46" s="90" t="n">
        <v>0</v>
      </c>
      <c r="C46" s="90" t="n">
        <v>0</v>
      </c>
      <c r="D46" s="90" t="n">
        <v>0</v>
      </c>
      <c r="E46" s="90" t="n">
        <v>0</v>
      </c>
      <c r="F46" s="92" t="n">
        <f aca="false">SUM(B46:E46)</f>
        <v>0</v>
      </c>
      <c r="G46" s="62" t="str">
        <f aca="false">IF(F46&gt;=5000000,"Diamond",IF(F46&gt;=3000000,"Platinum",IF(F46&gt;=1500000,"Gold",IF(F46&gt;=500000,"Silver",IF(F46&gt;=100000,"Bronze","Below Threshold")))))</f>
        <v>Below Threshold</v>
      </c>
      <c r="H46" s="98" t="n">
        <f aca="false">IF(G46="Diamond",100000,IF(G46="Platinum",60000,IF(G46="Gold",35000,IF(G46="Silver",15000,IF(G46="Bronze",5000,0)))))</f>
        <v>0</v>
      </c>
      <c r="I46" s="63" t="s">
        <v>1004</v>
      </c>
    </row>
    <row r="47" customFormat="false" ht="15" hidden="false" customHeight="true" outlineLevel="0" collapsed="false">
      <c r="A47" s="69" t="s">
        <v>1005</v>
      </c>
      <c r="B47" s="70"/>
      <c r="C47" s="70"/>
      <c r="D47" s="70"/>
      <c r="E47" s="70"/>
      <c r="F47" s="70"/>
      <c r="G47" s="70"/>
      <c r="H47" s="71" t="n">
        <f aca="false">SUM(H27:H46)</f>
        <v>0</v>
      </c>
      <c r="I47" s="70"/>
    </row>
    <row r="50" customFormat="false" ht="15" hidden="false" customHeight="true" outlineLevel="0" collapsed="false">
      <c r="A50" s="60" t="s">
        <v>1006</v>
      </c>
      <c r="B50" s="60"/>
      <c r="C50" s="60"/>
      <c r="D50" s="60"/>
      <c r="E50" s="60"/>
      <c r="F50" s="60"/>
      <c r="G50" s="60"/>
    </row>
    <row r="51" customFormat="false" ht="15" hidden="false" customHeight="true" outlineLevel="0" collapsed="false">
      <c r="A51" s="61" t="s">
        <v>1007</v>
      </c>
      <c r="B51" s="61" t="s">
        <v>476</v>
      </c>
      <c r="C51" s="61" t="s">
        <v>1008</v>
      </c>
      <c r="D51" s="61" t="s">
        <v>1009</v>
      </c>
      <c r="E51" s="61" t="s">
        <v>1010</v>
      </c>
      <c r="F51" s="61" t="s">
        <v>1011</v>
      </c>
      <c r="G51" s="61" t="s">
        <v>132</v>
      </c>
    </row>
    <row r="52" customFormat="false" ht="15" hidden="false" customHeight="true" outlineLevel="0" collapsed="false">
      <c r="A52" s="62" t="s">
        <v>298</v>
      </c>
      <c r="B52" s="63" t="n">
        <v>0</v>
      </c>
      <c r="C52" s="74" t="n">
        <v>0</v>
      </c>
      <c r="D52" s="74" t="n">
        <v>0</v>
      </c>
      <c r="E52" s="67" t="str">
        <f aca="false">IF(AND(C52&gt;=0.9,D52&gt;=1),"YES","NO")</f>
        <v>NO</v>
      </c>
      <c r="F52" s="98" t="n">
        <f aca="false">IF(E52="YES",50000,0)</f>
        <v>0</v>
      </c>
      <c r="G52" s="99" t="s">
        <v>1012</v>
      </c>
    </row>
    <row r="53" customFormat="false" ht="15" hidden="false" customHeight="true" outlineLevel="0" collapsed="false">
      <c r="A53" s="62" t="s">
        <v>289</v>
      </c>
      <c r="B53" s="63" t="n">
        <v>0</v>
      </c>
      <c r="C53" s="74" t="n">
        <v>0</v>
      </c>
      <c r="D53" s="74" t="n">
        <v>0</v>
      </c>
      <c r="E53" s="67" t="str">
        <f aca="false">IF(AND(C53&gt;=0.9,D53&gt;=1),"YES","NO")</f>
        <v>NO</v>
      </c>
      <c r="F53" s="98" t="n">
        <f aca="false">IF(E53="YES",50000,0)</f>
        <v>0</v>
      </c>
      <c r="G53" s="99" t="s">
        <v>1012</v>
      </c>
    </row>
    <row r="54" customFormat="false" ht="15" hidden="false" customHeight="true" outlineLevel="0" collapsed="false">
      <c r="A54" s="62" t="s">
        <v>148</v>
      </c>
      <c r="B54" s="63" t="n">
        <v>0</v>
      </c>
      <c r="C54" s="74" t="n">
        <v>0</v>
      </c>
      <c r="D54" s="74" t="n">
        <v>0</v>
      </c>
      <c r="E54" s="67" t="str">
        <f aca="false">IF(AND(C54&gt;=0.9,D54&gt;=1),"YES","NO")</f>
        <v>NO</v>
      </c>
      <c r="F54" s="98" t="n">
        <f aca="false">IF(E54="YES",50000,0)</f>
        <v>0</v>
      </c>
      <c r="G54" s="99" t="s">
        <v>1012</v>
      </c>
    </row>
    <row r="55" customFormat="false" ht="15" hidden="false" customHeight="true" outlineLevel="0" collapsed="false">
      <c r="A55" s="62" t="s">
        <v>142</v>
      </c>
      <c r="B55" s="63" t="n">
        <v>0</v>
      </c>
      <c r="C55" s="74" t="n">
        <v>0</v>
      </c>
      <c r="D55" s="74" t="n">
        <v>0</v>
      </c>
      <c r="E55" s="67" t="str">
        <f aca="false">IF(AND(C55&gt;=0.9,D55&gt;=1),"YES","NO")</f>
        <v>NO</v>
      </c>
      <c r="F55" s="98" t="n">
        <f aca="false">IF(E55="YES",50000,0)</f>
        <v>0</v>
      </c>
      <c r="G55" s="99" t="s">
        <v>1012</v>
      </c>
    </row>
    <row r="56" customFormat="false" ht="15" hidden="false" customHeight="true" outlineLevel="0" collapsed="false">
      <c r="A56" s="62" t="s">
        <v>256</v>
      </c>
      <c r="B56" s="63" t="n">
        <v>0</v>
      </c>
      <c r="C56" s="74" t="n">
        <v>0</v>
      </c>
      <c r="D56" s="74" t="n">
        <v>0</v>
      </c>
      <c r="E56" s="67" t="str">
        <f aca="false">IF(AND(C56&gt;=0.9,D56&gt;=1),"YES","NO")</f>
        <v>NO</v>
      </c>
      <c r="F56" s="98" t="n">
        <f aca="false">IF(E56="YES",50000,0)</f>
        <v>0</v>
      </c>
      <c r="G56" s="99" t="s">
        <v>1012</v>
      </c>
    </row>
    <row r="57" customFormat="false" ht="15" hidden="false" customHeight="true" outlineLevel="0" collapsed="false">
      <c r="A57" s="62" t="s">
        <v>136</v>
      </c>
      <c r="B57" s="63" t="n">
        <v>0</v>
      </c>
      <c r="C57" s="74" t="n">
        <v>0</v>
      </c>
      <c r="D57" s="74" t="n">
        <v>0</v>
      </c>
      <c r="E57" s="67" t="str">
        <f aca="false">IF(AND(C57&gt;=0.9,D57&gt;=1),"YES","NO")</f>
        <v>NO</v>
      </c>
      <c r="F57" s="98" t="n">
        <f aca="false">IF(E57="YES",50000,0)</f>
        <v>0</v>
      </c>
      <c r="G57" s="99" t="s">
        <v>1012</v>
      </c>
    </row>
    <row r="58" customFormat="false" ht="15" hidden="false" customHeight="true" outlineLevel="0" collapsed="false">
      <c r="A58" s="62" t="s">
        <v>281</v>
      </c>
      <c r="B58" s="63" t="n">
        <v>0</v>
      </c>
      <c r="C58" s="74" t="n">
        <v>0</v>
      </c>
      <c r="D58" s="74" t="n">
        <v>0</v>
      </c>
      <c r="E58" s="67" t="str">
        <f aca="false">IF(AND(C58&gt;=0.9,D58&gt;=1),"YES","NO")</f>
        <v>NO</v>
      </c>
      <c r="F58" s="98" t="n">
        <f aca="false">IF(E58="YES",50000,0)</f>
        <v>0</v>
      </c>
      <c r="G58" s="99" t="s">
        <v>1012</v>
      </c>
    </row>
    <row r="59" customFormat="false" ht="15" hidden="false" customHeight="true" outlineLevel="0" collapsed="false">
      <c r="A59" s="62" t="s">
        <v>248</v>
      </c>
      <c r="B59" s="63" t="n">
        <v>0</v>
      </c>
      <c r="C59" s="74" t="n">
        <v>0</v>
      </c>
      <c r="D59" s="74" t="n">
        <v>0</v>
      </c>
      <c r="E59" s="67" t="str">
        <f aca="false">IF(AND(C59&gt;=0.9,D59&gt;=1),"YES","NO")</f>
        <v>NO</v>
      </c>
      <c r="F59" s="98" t="n">
        <f aca="false">IF(E59="YES",50000,0)</f>
        <v>0</v>
      </c>
      <c r="G59" s="99" t="s">
        <v>1012</v>
      </c>
    </row>
  </sheetData>
  <mergeCells count="5">
    <mergeCell ref="A1:I1"/>
    <mergeCell ref="A3:F3"/>
    <mergeCell ref="A12:E12"/>
    <mergeCell ref="A25:I25"/>
    <mergeCell ref="A50:G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2026-03-29T10:42:16Z</dcterms:created>
  <dc:creator>openpyxl</dc:creator>
  <dc:description/>
  <dc:language>en-US</dc:language>
  <cp:lastModifiedBy/>
  <dcterms:modified xsi:type="dcterms:W3CDTF">2026-03-29T17:17:52Z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