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755"/>
  </bookViews>
  <sheets>
    <sheet name="Regular Staff" sheetId="2" r:id="rId1"/>
    <sheet name="NEW EMPLOYEES BANK DETAILS" sheetId="3" r:id="rId2"/>
  </sheets>
  <definedNames>
    <definedName name="_xlnm._FilterDatabase" localSheetId="0" hidden="1">'Regular Staff'!$A$1:$AC$63</definedName>
  </definedNames>
  <calcPr calcId="152511"/>
</workbook>
</file>

<file path=xl/calcChain.xml><?xml version="1.0" encoding="utf-8"?>
<calcChain xmlns="http://schemas.openxmlformats.org/spreadsheetml/2006/main">
  <c r="AB86" i="2" l="1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AB84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66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R75" i="2"/>
  <c r="R76" i="2"/>
  <c r="R77" i="2"/>
  <c r="R78" i="2"/>
  <c r="R79" i="2"/>
  <c r="R80" i="2"/>
  <c r="R81" i="2"/>
  <c r="R82" i="2"/>
  <c r="R83" i="2"/>
  <c r="O79" i="2"/>
  <c r="O83" i="2"/>
  <c r="N83" i="2"/>
  <c r="N79" i="2"/>
  <c r="M83" i="2"/>
  <c r="M79" i="2"/>
  <c r="K83" i="2"/>
  <c r="K79" i="2"/>
  <c r="O82" i="2"/>
  <c r="N82" i="2"/>
  <c r="M82" i="2"/>
  <c r="K82" i="2"/>
  <c r="O81" i="2"/>
  <c r="N81" i="2"/>
  <c r="M81" i="2"/>
  <c r="K81" i="2"/>
  <c r="O80" i="2"/>
  <c r="N80" i="2"/>
  <c r="M80" i="2"/>
  <c r="K80" i="2"/>
  <c r="O78" i="2"/>
  <c r="N78" i="2"/>
  <c r="M78" i="2"/>
  <c r="K78" i="2"/>
  <c r="O77" i="2"/>
  <c r="N77" i="2"/>
  <c r="M77" i="2"/>
  <c r="K77" i="2"/>
  <c r="O76" i="2"/>
  <c r="N76" i="2"/>
  <c r="M76" i="2"/>
  <c r="K76" i="2"/>
  <c r="O75" i="2"/>
  <c r="N75" i="2"/>
  <c r="M75" i="2"/>
  <c r="K75" i="2"/>
  <c r="M66" i="2"/>
  <c r="O74" i="2"/>
  <c r="O73" i="2"/>
  <c r="O72" i="2"/>
  <c r="O71" i="2"/>
  <c r="O69" i="2"/>
  <c r="O68" i="2"/>
  <c r="O66" i="2"/>
  <c r="N74" i="2"/>
  <c r="N73" i="2"/>
  <c r="N72" i="2"/>
  <c r="N71" i="2"/>
  <c r="N69" i="2"/>
  <c r="N68" i="2"/>
  <c r="N66" i="2"/>
  <c r="M74" i="2"/>
  <c r="M73" i="2"/>
  <c r="M72" i="2"/>
  <c r="M71" i="2"/>
  <c r="M69" i="2"/>
  <c r="M68" i="2"/>
  <c r="K74" i="2"/>
  <c r="K73" i="2"/>
  <c r="K72" i="2"/>
  <c r="K71" i="2"/>
  <c r="K70" i="2"/>
  <c r="K69" i="2"/>
  <c r="K68" i="2"/>
  <c r="K67" i="2"/>
  <c r="K66" i="2"/>
  <c r="R74" i="2" l="1"/>
  <c r="R71" i="2"/>
  <c r="R67" i="2"/>
  <c r="R73" i="2"/>
  <c r="R72" i="2"/>
  <c r="R70" i="2"/>
  <c r="R69" i="2"/>
  <c r="R68" i="2"/>
  <c r="R66" i="2"/>
  <c r="AA65" i="2" l="1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AB65" i="2"/>
</calcChain>
</file>

<file path=xl/sharedStrings.xml><?xml version="1.0" encoding="utf-8"?>
<sst xmlns="http://schemas.openxmlformats.org/spreadsheetml/2006/main" count="293" uniqueCount="123">
  <si>
    <t>S.N.</t>
  </si>
  <si>
    <t>Staff Name</t>
  </si>
  <si>
    <t>Type of Staff</t>
  </si>
  <si>
    <t>Salary Type</t>
  </si>
  <si>
    <t>Gross Salary</t>
  </si>
  <si>
    <t>Payable Days</t>
  </si>
  <si>
    <t>Present Days</t>
  </si>
  <si>
    <t>Holiday/Leave Days</t>
  </si>
  <si>
    <t>Total Work Hours</t>
  </si>
  <si>
    <t>Fine Hours</t>
  </si>
  <si>
    <t>Basic</t>
  </si>
  <si>
    <t>Total Earnings</t>
  </si>
  <si>
    <t>System Fine</t>
  </si>
  <si>
    <t>System Deduction</t>
  </si>
  <si>
    <t>Total Deductions</t>
  </si>
  <si>
    <t>Net Pay Amount</t>
  </si>
  <si>
    <t>Due Amount</t>
  </si>
  <si>
    <t>Total</t>
  </si>
  <si>
    <t/>
  </si>
  <si>
    <t>Special Allowance</t>
  </si>
  <si>
    <t>HRA</t>
  </si>
  <si>
    <t>Other Allowance</t>
  </si>
  <si>
    <t>Conveyance Allowance</t>
  </si>
  <si>
    <t>PF (Employer Contribution)</t>
  </si>
  <si>
    <t>ESI (Employer Contribution)</t>
  </si>
  <si>
    <t>PF (Employee Contribution)</t>
  </si>
  <si>
    <t>PF (Employer Contribution Deduction)</t>
  </si>
  <si>
    <t>PT</t>
  </si>
  <si>
    <t>ESI (Employee Contribution)</t>
  </si>
  <si>
    <t>ESI (Employer Contribution Deduction)</t>
  </si>
  <si>
    <t>Regular</t>
  </si>
  <si>
    <t>Monthly Regular</t>
  </si>
  <si>
    <t>Jasmine Jain</t>
  </si>
  <si>
    <t>Bhola Singh</t>
  </si>
  <si>
    <t>Akash Kumar</t>
  </si>
  <si>
    <t>Juntara Patir</t>
  </si>
  <si>
    <t>Hira Shrestha</t>
  </si>
  <si>
    <t>Indranil Roy</t>
  </si>
  <si>
    <t>Kshetrimayam Ajay Krishnan Singh</t>
  </si>
  <si>
    <t>Hirakjyoti Das</t>
  </si>
  <si>
    <t>Preeti Nag</t>
  </si>
  <si>
    <t>Tamanna Kejriwal</t>
  </si>
  <si>
    <t>Raj Das</t>
  </si>
  <si>
    <t>Ajanta Saikia</t>
  </si>
  <si>
    <t>Shoibam Nara Singh</t>
  </si>
  <si>
    <t>Sudarshana Gupta</t>
  </si>
  <si>
    <t>Jinu Lagachu</t>
  </si>
  <si>
    <t>Balbinder Kaur</t>
  </si>
  <si>
    <t>Karismita Deka</t>
  </si>
  <si>
    <t>Sejal Jain</t>
  </si>
  <si>
    <t>Tasdiq Ahmed</t>
  </si>
  <si>
    <t>Jitender Roy</t>
  </si>
  <si>
    <t>Mayurakshi Goswami</t>
  </si>
  <si>
    <t>Rinjima Pathak Das</t>
  </si>
  <si>
    <t>Khushbu Chhajer</t>
  </si>
  <si>
    <t>Pranita Saikia</t>
  </si>
  <si>
    <t>Laxman Sharma</t>
  </si>
  <si>
    <t>Shivani Kumari</t>
  </si>
  <si>
    <t>Nisha Koirala</t>
  </si>
  <si>
    <t>Sweety Sarania</t>
  </si>
  <si>
    <t>Gourab Saha</t>
  </si>
  <si>
    <t>Nipa Das</t>
  </si>
  <si>
    <t>Leena Das</t>
  </si>
  <si>
    <t xml:space="preserve">Mousam Majumdar </t>
  </si>
  <si>
    <t>Partha Deb Barman</t>
  </si>
  <si>
    <t>Tanima Das</t>
  </si>
  <si>
    <t>Anikendu Indra</t>
  </si>
  <si>
    <t>Kabita Goswami</t>
  </si>
  <si>
    <t>Pranab Kumar Barman</t>
  </si>
  <si>
    <t>Shakeeb Aamer</t>
  </si>
  <si>
    <t>Abhishek Mitra</t>
  </si>
  <si>
    <t>Ashis Das</t>
  </si>
  <si>
    <t>Jumma Ara Begum</t>
  </si>
  <si>
    <t>Pinki Rani Kalita</t>
  </si>
  <si>
    <t>Sudeep Kashyap</t>
  </si>
  <si>
    <t>Harshita Jalan</t>
  </si>
  <si>
    <t>Banshika Agarwal</t>
  </si>
  <si>
    <t>Ranjan Jyoti Datta Choudhury</t>
  </si>
  <si>
    <t>Banajit Bezbaruah</t>
  </si>
  <si>
    <t>Abhishek Agarwala</t>
  </si>
  <si>
    <t>Nayanjyoti Handique</t>
  </si>
  <si>
    <t>Ajay SIngh</t>
  </si>
  <si>
    <t>Tarun Kumar Bose</t>
  </si>
  <si>
    <t>Dipankar Das</t>
  </si>
  <si>
    <t>Ishika Bajaj</t>
  </si>
  <si>
    <t>Lucky Pathak</t>
  </si>
  <si>
    <t>Naushad Hussain</t>
  </si>
  <si>
    <t>Purnananda Pathak</t>
  </si>
  <si>
    <t>Anjali Shah</t>
  </si>
  <si>
    <t>Hemanta Saharia</t>
  </si>
  <si>
    <t>Sukanta Das</t>
  </si>
  <si>
    <t>Vinita Kabra</t>
  </si>
  <si>
    <t>Wasbir Ahmed</t>
  </si>
  <si>
    <t>Aruna Deka</t>
  </si>
  <si>
    <t>Rana Goswami</t>
  </si>
  <si>
    <t>Abir Das</t>
  </si>
  <si>
    <t>Veer Pavan Kumar P</t>
  </si>
  <si>
    <t>JOYDEEP DUTTA</t>
  </si>
  <si>
    <t>PRACHIR DEY</t>
  </si>
  <si>
    <t>SUDIP CHOUDHURY</t>
  </si>
  <si>
    <t>SUDIP GHOSH</t>
  </si>
  <si>
    <t>PRANJAL KALITA</t>
  </si>
  <si>
    <t>RAJU CHAKRABORTY</t>
  </si>
  <si>
    <t>PARISHMITA DOLEY</t>
  </si>
  <si>
    <t>DEEPJYOTI DEKA</t>
  </si>
  <si>
    <t>PADMINI DAS</t>
  </si>
  <si>
    <t>MOMI PEGU BORAH</t>
  </si>
  <si>
    <t>BIKRAMJIT DAS</t>
  </si>
  <si>
    <t>KISHOR KUMAR DAS</t>
  </si>
  <si>
    <t>NIKUMANI BARMAN</t>
  </si>
  <si>
    <t>Grand Total</t>
  </si>
  <si>
    <t>NAME</t>
  </si>
  <si>
    <t>BANK A/C</t>
  </si>
  <si>
    <t>IFSC</t>
  </si>
  <si>
    <t>NIRAJ KUMAR</t>
  </si>
  <si>
    <t>BIPROJIT ROY</t>
  </si>
  <si>
    <t xml:space="preserve">UTIB0005023 </t>
  </si>
  <si>
    <t>HDFC0000264</t>
  </si>
  <si>
    <t>022325201000027</t>
  </si>
  <si>
    <t>NESF0000223</t>
  </si>
  <si>
    <t>HDFC0001474</t>
  </si>
  <si>
    <t>HDFC0002824</t>
  </si>
  <si>
    <t>IOBA0001838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</si>
</sst>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9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mbria"/>
      <family val="1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E86D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0">
    <xf numFmtId="0" fontId="0" fillId="0" borderId="0" xfId="0"/>
    <xf numFmtId="43" fontId="5" fillId="0" borderId="2" xfId="1" applyFont="1" applyFill="1" applyBorder="1" applyAlignment="1">
      <alignment vertical="center" wrapText="1"/>
    </xf>
    <xf numFmtId="43" fontId="6" fillId="0" borderId="2" xfId="1" applyFont="1" applyFill="1" applyBorder="1" applyAlignment="1"/>
    <xf numFmtId="43" fontId="2" fillId="0" borderId="2" xfId="1" applyFont="1" applyBorder="1" applyAlignment="1">
      <alignment vertical="center" wrapText="1"/>
    </xf>
    <xf numFmtId="43" fontId="2" fillId="0" borderId="2" xfId="1" applyFont="1" applyFill="1" applyBorder="1" applyAlignment="1">
      <alignment vertical="center" wrapText="1"/>
    </xf>
    <xf numFmtId="43" fontId="0" fillId="0" borderId="2" xfId="1" applyFont="1" applyFill="1" applyBorder="1" applyAlignment="1"/>
    <xf numFmtId="43" fontId="0" fillId="0" borderId="2" xfId="1" applyFont="1" applyBorder="1" applyAlignment="1"/>
    <xf numFmtId="0" fontId="0" fillId="0" borderId="2" xfId="0" applyBorder="1"/>
    <xf numFmtId="43" fontId="0" fillId="0" borderId="2" xfId="1" applyFont="1" applyBorder="1"/>
    <xf numFmtId="43" fontId="1" fillId="2" borderId="1" xfId="1" applyFont="1" applyFill="1" applyBorder="1" applyAlignment="1">
      <alignment horizontal="center" vertical="center" wrapText="1"/>
    </xf>
    <xf numFmtId="43" fontId="0" fillId="0" borderId="0" xfId="1" applyFont="1"/>
    <xf numFmtId="43" fontId="2" fillId="0" borderId="1" xfId="1" applyFont="1" applyBorder="1" applyAlignment="1">
      <alignment horizontal="center" vertical="center" wrapText="1"/>
    </xf>
    <xf numFmtId="43" fontId="7" fillId="4" borderId="3" xfId="1" applyFont="1" applyFill="1" applyBorder="1" applyAlignment="1">
      <alignment horizontal="center" vertical="center" wrapText="1"/>
    </xf>
    <xf numFmtId="43" fontId="7" fillId="4" borderId="1" xfId="1" applyFont="1" applyFill="1" applyBorder="1" applyAlignment="1">
      <alignment horizontal="center" vertical="center" wrapText="1"/>
    </xf>
    <xf numFmtId="43" fontId="4" fillId="4" borderId="0" xfId="1" applyFont="1" applyFill="1"/>
    <xf numFmtId="43" fontId="0" fillId="3" borderId="2" xfId="1" applyFont="1" applyFill="1" applyBorder="1" applyAlignment="1">
      <alignment horizontal="left"/>
    </xf>
    <xf numFmtId="43" fontId="0" fillId="0" borderId="2" xfId="1" applyFont="1" applyFill="1" applyBorder="1"/>
    <xf numFmtId="43" fontId="0" fillId="0" borderId="4" xfId="1" applyFont="1" applyFill="1" applyBorder="1"/>
    <xf numFmtId="43" fontId="5" fillId="3" borderId="2" xfId="1" applyFont="1" applyFill="1" applyBorder="1" applyAlignment="1">
      <alignment horizontal="left" vertical="center" wrapText="1"/>
    </xf>
    <xf numFmtId="43" fontId="0" fillId="4" borderId="2" xfId="1" applyFont="1" applyFill="1" applyBorder="1"/>
    <xf numFmtId="43" fontId="4" fillId="4" borderId="2" xfId="1" applyFont="1" applyFill="1" applyBorder="1"/>
    <xf numFmtId="43" fontId="0" fillId="4" borderId="0" xfId="1" applyFont="1" applyFill="1"/>
    <xf numFmtId="43" fontId="4" fillId="4" borderId="2" xfId="1" applyFont="1" applyFill="1" applyBorder="1" applyAlignment="1">
      <alignment horizontal="center"/>
    </xf>
    <xf numFmtId="43" fontId="4" fillId="3" borderId="0" xfId="1" applyFont="1" applyFill="1"/>
    <xf numFmtId="169" fontId="1" fillId="2" borderId="1" xfId="1" applyNumberFormat="1" applyFont="1" applyFill="1" applyBorder="1" applyAlignment="1">
      <alignment horizontal="center" vertical="center" wrapText="1"/>
    </xf>
    <xf numFmtId="169" fontId="2" fillId="0" borderId="1" xfId="1" applyNumberFormat="1" applyFont="1" applyBorder="1" applyAlignment="1">
      <alignment horizontal="center" vertical="center" wrapText="1"/>
    </xf>
    <xf numFmtId="169" fontId="0" fillId="0" borderId="0" xfId="1" applyNumberFormat="1" applyFont="1"/>
    <xf numFmtId="169" fontId="7" fillId="4" borderId="3" xfId="1" applyNumberFormat="1" applyFont="1" applyFill="1" applyBorder="1" applyAlignment="1">
      <alignment horizontal="center" vertical="center" wrapText="1"/>
    </xf>
    <xf numFmtId="169" fontId="0" fillId="0" borderId="2" xfId="1" applyNumberFormat="1" applyFont="1" applyBorder="1"/>
    <xf numFmtId="169" fontId="0" fillId="4" borderId="2" xfId="1" applyNumberFormat="1" applyFont="1" applyFill="1" applyBorder="1"/>
    <xf numFmtId="169" fontId="4" fillId="3" borderId="0" xfId="1" applyNumberFormat="1" applyFont="1" applyFill="1"/>
    <xf numFmtId="0" fontId="4" fillId="0" borderId="0" xfId="0" applyFont="1"/>
    <xf numFmtId="0" fontId="4" fillId="0" borderId="2" xfId="0" applyFont="1" applyBorder="1"/>
    <xf numFmtId="169" fontId="2" fillId="5" borderId="1" xfId="1" applyNumberFormat="1" applyFont="1" applyFill="1" applyBorder="1" applyAlignment="1">
      <alignment horizontal="center" vertical="center" wrapText="1"/>
    </xf>
    <xf numFmtId="43" fontId="2" fillId="5" borderId="1" xfId="1" applyFont="1" applyFill="1" applyBorder="1" applyAlignment="1">
      <alignment horizontal="center" vertical="center" wrapText="1"/>
    </xf>
    <xf numFmtId="43" fontId="0" fillId="5" borderId="0" xfId="1" applyFont="1" applyFill="1"/>
    <xf numFmtId="1" fontId="0" fillId="0" borderId="2" xfId="0" applyNumberFormat="1" applyBorder="1"/>
    <xf numFmtId="1" fontId="4" fillId="0" borderId="2" xfId="0" applyNumberFormat="1" applyFont="1" applyBorder="1"/>
    <xf numFmtId="1" fontId="0" fillId="0" borderId="0" xfId="0" applyNumberFormat="1"/>
    <xf numFmtId="49" fontId="0" fillId="0" borderId="2" xfId="0" applyNumberForma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A66" sqref="AA66"/>
    </sheetView>
  </sheetViews>
  <sheetFormatPr defaultColWidth="20" defaultRowHeight="15" x14ac:dyDescent="0.25"/>
  <cols>
    <col min="1" max="1" width="8" style="26" customWidth="1"/>
    <col min="2" max="2" width="36" style="10" customWidth="1"/>
    <col min="3" max="3" width="17" style="10" customWidth="1"/>
    <col min="4" max="4" width="19" style="10" customWidth="1"/>
    <col min="5" max="7" width="16" style="10" customWidth="1"/>
    <col min="8" max="8" width="22" style="10" customWidth="1"/>
    <col min="9" max="9" width="20" style="10" customWidth="1"/>
    <col min="10" max="11" width="14" style="10" customWidth="1"/>
    <col min="12" max="12" width="21" style="10" customWidth="1"/>
    <col min="13" max="13" width="13" style="10" customWidth="1"/>
    <col min="14" max="14" width="19" style="10" customWidth="1"/>
    <col min="15" max="15" width="24" style="10" customWidth="1"/>
    <col min="16" max="16" width="30" style="10" customWidth="1"/>
    <col min="17" max="17" width="31" style="10" customWidth="1"/>
    <col min="18" max="18" width="18" style="10" customWidth="1"/>
    <col min="19" max="19" width="30" style="10" customWidth="1"/>
    <col min="20" max="20" width="31.42578125" style="10" bestFit="1" customWidth="1"/>
    <col min="21" max="21" width="10.5703125" style="10" bestFit="1" customWidth="1"/>
    <col min="22" max="22" width="31" style="10" customWidth="1"/>
    <col min="23" max="23" width="41" style="10" customWidth="1"/>
    <col min="24" max="24" width="15" style="10" customWidth="1"/>
    <col min="25" max="26" width="20" style="10" customWidth="1"/>
    <col min="27" max="27" width="18" style="10" customWidth="1"/>
    <col min="28" max="28" width="14" style="10" customWidth="1"/>
    <col min="29" max="29" width="0" style="10" hidden="1" customWidth="1"/>
    <col min="30" max="16384" width="20" style="10"/>
  </cols>
  <sheetData>
    <row r="1" spans="1:28" ht="25.5" x14ac:dyDescent="0.25">
      <c r="A1" s="24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19</v>
      </c>
      <c r="M1" s="9" t="s">
        <v>20</v>
      </c>
      <c r="N1" s="9" t="s">
        <v>21</v>
      </c>
      <c r="O1" s="9" t="s">
        <v>22</v>
      </c>
      <c r="P1" s="9" t="s">
        <v>23</v>
      </c>
      <c r="Q1" s="9" t="s">
        <v>24</v>
      </c>
      <c r="R1" s="9" t="s">
        <v>11</v>
      </c>
      <c r="S1" s="9" t="s">
        <v>25</v>
      </c>
      <c r="T1" s="9" t="s">
        <v>26</v>
      </c>
      <c r="U1" s="9" t="s">
        <v>27</v>
      </c>
      <c r="V1" s="9" t="s">
        <v>28</v>
      </c>
      <c r="W1" s="9" t="s">
        <v>29</v>
      </c>
      <c r="X1" s="9" t="s">
        <v>12</v>
      </c>
      <c r="Y1" s="9" t="s">
        <v>13</v>
      </c>
      <c r="Z1" s="9" t="s">
        <v>14</v>
      </c>
      <c r="AA1" s="9" t="s">
        <v>15</v>
      </c>
      <c r="AB1" s="9" t="s">
        <v>16</v>
      </c>
    </row>
    <row r="2" spans="1:28" ht="15" customHeight="1" x14ac:dyDescent="0.25">
      <c r="A2" s="25">
        <v>1</v>
      </c>
      <c r="B2" s="11" t="s">
        <v>32</v>
      </c>
      <c r="C2" s="11" t="s">
        <v>30</v>
      </c>
      <c r="D2" s="11" t="s">
        <v>31</v>
      </c>
      <c r="E2" s="11">
        <v>28200</v>
      </c>
      <c r="F2" s="11">
        <v>25</v>
      </c>
      <c r="G2" s="11">
        <v>20.5</v>
      </c>
      <c r="H2" s="11">
        <v>4.5</v>
      </c>
      <c r="I2" s="11">
        <v>143.75</v>
      </c>
      <c r="J2" s="11">
        <v>6.83</v>
      </c>
      <c r="K2" s="11">
        <v>16366.07</v>
      </c>
      <c r="L2" s="11">
        <v>0</v>
      </c>
      <c r="M2" s="11">
        <v>8812.5</v>
      </c>
      <c r="N2" s="11">
        <v>0</v>
      </c>
      <c r="O2" s="11">
        <v>0</v>
      </c>
      <c r="P2" s="11">
        <v>0</v>
      </c>
      <c r="Q2" s="11">
        <v>0</v>
      </c>
      <c r="R2" s="11">
        <v>25178.57</v>
      </c>
      <c r="S2" s="11">
        <v>1800</v>
      </c>
      <c r="T2" s="11">
        <v>1800</v>
      </c>
      <c r="U2" s="11">
        <v>208</v>
      </c>
      <c r="V2" s="11">
        <v>0</v>
      </c>
      <c r="W2" s="11">
        <v>0</v>
      </c>
      <c r="X2" s="11">
        <v>580.04</v>
      </c>
      <c r="Y2" s="11">
        <v>0</v>
      </c>
      <c r="Z2" s="11">
        <v>2588.04</v>
      </c>
      <c r="AA2" s="11">
        <v>22590.53</v>
      </c>
      <c r="AB2" s="11">
        <v>22590.53</v>
      </c>
    </row>
    <row r="3" spans="1:28" ht="15" customHeight="1" x14ac:dyDescent="0.25">
      <c r="A3" s="25">
        <v>2</v>
      </c>
      <c r="B3" s="11" t="s">
        <v>33</v>
      </c>
      <c r="C3" s="11" t="s">
        <v>30</v>
      </c>
      <c r="D3" s="11" t="s">
        <v>31</v>
      </c>
      <c r="E3" s="11">
        <v>103500</v>
      </c>
      <c r="F3" s="11">
        <v>28</v>
      </c>
      <c r="G3" s="11">
        <v>22</v>
      </c>
      <c r="H3" s="11">
        <v>6</v>
      </c>
      <c r="I3" s="11">
        <v>183.7</v>
      </c>
      <c r="J3" s="11">
        <v>0</v>
      </c>
      <c r="K3" s="11">
        <v>51750</v>
      </c>
      <c r="L3" s="11">
        <v>0</v>
      </c>
      <c r="M3" s="11">
        <v>36225</v>
      </c>
      <c r="N3" s="11">
        <v>5175</v>
      </c>
      <c r="O3" s="11">
        <v>10350</v>
      </c>
      <c r="P3" s="11">
        <v>0</v>
      </c>
      <c r="Q3" s="11">
        <v>0</v>
      </c>
      <c r="R3" s="11">
        <v>103500</v>
      </c>
      <c r="S3" s="11">
        <v>0</v>
      </c>
      <c r="T3" s="11">
        <v>0</v>
      </c>
      <c r="U3" s="11">
        <v>208</v>
      </c>
      <c r="V3" s="11">
        <v>0</v>
      </c>
      <c r="W3" s="11">
        <v>0</v>
      </c>
      <c r="X3" s="11">
        <v>0</v>
      </c>
      <c r="Y3" s="11">
        <v>0</v>
      </c>
      <c r="Z3" s="11">
        <v>208</v>
      </c>
      <c r="AA3" s="11">
        <v>103292</v>
      </c>
      <c r="AB3" s="11">
        <v>103292</v>
      </c>
    </row>
    <row r="4" spans="1:28" ht="15" customHeight="1" x14ac:dyDescent="0.25">
      <c r="A4" s="25">
        <v>3</v>
      </c>
      <c r="B4" s="11" t="s">
        <v>34</v>
      </c>
      <c r="C4" s="11" t="s">
        <v>30</v>
      </c>
      <c r="D4" s="11" t="s">
        <v>31</v>
      </c>
      <c r="E4" s="11">
        <v>22449</v>
      </c>
      <c r="F4" s="11">
        <v>28</v>
      </c>
      <c r="G4" s="11">
        <v>24</v>
      </c>
      <c r="H4" s="11">
        <v>4</v>
      </c>
      <c r="I4" s="11">
        <v>194.72</v>
      </c>
      <c r="J4" s="11">
        <v>0</v>
      </c>
      <c r="K4" s="11">
        <v>14592</v>
      </c>
      <c r="L4" s="11">
        <v>0</v>
      </c>
      <c r="M4" s="11">
        <v>7857</v>
      </c>
      <c r="N4" s="11">
        <v>0</v>
      </c>
      <c r="O4" s="11">
        <v>0</v>
      </c>
      <c r="P4" s="11">
        <v>0</v>
      </c>
      <c r="Q4" s="11">
        <v>0</v>
      </c>
      <c r="R4" s="11">
        <v>22449</v>
      </c>
      <c r="S4" s="11">
        <v>1751</v>
      </c>
      <c r="T4" s="11">
        <v>1751</v>
      </c>
      <c r="U4" s="11">
        <v>180</v>
      </c>
      <c r="V4" s="11">
        <v>0</v>
      </c>
      <c r="W4" s="11">
        <v>0</v>
      </c>
      <c r="X4" s="11">
        <v>0</v>
      </c>
      <c r="Y4" s="11">
        <v>0</v>
      </c>
      <c r="Z4" s="11">
        <v>1931</v>
      </c>
      <c r="AA4" s="11">
        <v>20518</v>
      </c>
      <c r="AB4" s="11">
        <v>20518</v>
      </c>
    </row>
    <row r="5" spans="1:28" ht="15" customHeight="1" x14ac:dyDescent="0.25">
      <c r="A5" s="25">
        <v>4</v>
      </c>
      <c r="B5" s="11" t="s">
        <v>35</v>
      </c>
      <c r="C5" s="11" t="s">
        <v>30</v>
      </c>
      <c r="D5" s="11" t="s">
        <v>31</v>
      </c>
      <c r="E5" s="11">
        <v>6000</v>
      </c>
      <c r="F5" s="11">
        <v>21</v>
      </c>
      <c r="G5" s="11">
        <v>17</v>
      </c>
      <c r="H5" s="11">
        <v>4</v>
      </c>
      <c r="I5" s="11">
        <v>142.77000000000001</v>
      </c>
      <c r="J5" s="11">
        <v>1.08</v>
      </c>
      <c r="K5" s="11">
        <v>4500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4500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25.79</v>
      </c>
      <c r="Y5" s="11">
        <v>0</v>
      </c>
      <c r="Z5" s="11">
        <v>25.79</v>
      </c>
      <c r="AA5" s="11">
        <v>4474.21</v>
      </c>
      <c r="AB5" s="11">
        <v>4474.21</v>
      </c>
    </row>
    <row r="6" spans="1:28" ht="15" customHeight="1" x14ac:dyDescent="0.25">
      <c r="A6" s="25">
        <v>5</v>
      </c>
      <c r="B6" s="11" t="s">
        <v>36</v>
      </c>
      <c r="C6" s="11" t="s">
        <v>30</v>
      </c>
      <c r="D6" s="11" t="s">
        <v>31</v>
      </c>
      <c r="E6" s="11">
        <v>23200</v>
      </c>
      <c r="F6" s="11">
        <v>28</v>
      </c>
      <c r="G6" s="11">
        <v>22</v>
      </c>
      <c r="H6" s="11">
        <v>6</v>
      </c>
      <c r="I6" s="11">
        <v>189.37</v>
      </c>
      <c r="J6" s="11">
        <v>1.07</v>
      </c>
      <c r="K6" s="11">
        <v>15080</v>
      </c>
      <c r="L6" s="11">
        <v>0</v>
      </c>
      <c r="M6" s="11">
        <v>8120</v>
      </c>
      <c r="N6" s="11">
        <v>0</v>
      </c>
      <c r="O6" s="11">
        <v>0</v>
      </c>
      <c r="P6" s="11">
        <v>0</v>
      </c>
      <c r="Q6" s="11">
        <v>0</v>
      </c>
      <c r="R6" s="11">
        <v>23200</v>
      </c>
      <c r="S6" s="11">
        <v>1800</v>
      </c>
      <c r="T6" s="11">
        <v>1800</v>
      </c>
      <c r="U6" s="11">
        <v>180</v>
      </c>
      <c r="V6" s="11">
        <v>0</v>
      </c>
      <c r="W6" s="11">
        <v>0</v>
      </c>
      <c r="X6" s="11">
        <v>0</v>
      </c>
      <c r="Y6" s="11">
        <v>0</v>
      </c>
      <c r="Z6" s="11">
        <v>1980</v>
      </c>
      <c r="AA6" s="11">
        <v>21220</v>
      </c>
      <c r="AB6" s="11">
        <v>21220</v>
      </c>
    </row>
    <row r="7" spans="1:28" ht="15" customHeight="1" x14ac:dyDescent="0.25">
      <c r="A7" s="25">
        <v>6</v>
      </c>
      <c r="B7" s="11" t="s">
        <v>37</v>
      </c>
      <c r="C7" s="11" t="s">
        <v>30</v>
      </c>
      <c r="D7" s="11" t="s">
        <v>31</v>
      </c>
      <c r="E7" s="11">
        <v>67008</v>
      </c>
      <c r="F7" s="11">
        <v>28</v>
      </c>
      <c r="G7" s="11">
        <v>24</v>
      </c>
      <c r="H7" s="11">
        <v>4</v>
      </c>
      <c r="I7" s="11">
        <v>198</v>
      </c>
      <c r="J7" s="11">
        <v>0</v>
      </c>
      <c r="K7" s="11">
        <v>37874</v>
      </c>
      <c r="L7" s="11">
        <v>0</v>
      </c>
      <c r="M7" s="11">
        <v>20394</v>
      </c>
      <c r="N7" s="11">
        <v>2913</v>
      </c>
      <c r="O7" s="11">
        <v>5827</v>
      </c>
      <c r="P7" s="11">
        <v>0</v>
      </c>
      <c r="Q7" s="11">
        <v>0</v>
      </c>
      <c r="R7" s="11">
        <v>67008</v>
      </c>
      <c r="S7" s="11">
        <v>1800</v>
      </c>
      <c r="T7" s="11">
        <v>1800</v>
      </c>
      <c r="U7" s="11">
        <v>208</v>
      </c>
      <c r="V7" s="11">
        <v>0</v>
      </c>
      <c r="W7" s="11">
        <v>0</v>
      </c>
      <c r="X7" s="11">
        <v>0</v>
      </c>
      <c r="Y7" s="11">
        <v>0</v>
      </c>
      <c r="Z7" s="11">
        <v>2008</v>
      </c>
      <c r="AA7" s="11">
        <v>65000</v>
      </c>
      <c r="AB7" s="11">
        <v>65000</v>
      </c>
    </row>
    <row r="8" spans="1:28" ht="15" customHeight="1" x14ac:dyDescent="0.25">
      <c r="A8" s="25">
        <v>7</v>
      </c>
      <c r="B8" s="11" t="s">
        <v>38</v>
      </c>
      <c r="C8" s="11" t="s">
        <v>30</v>
      </c>
      <c r="D8" s="11" t="s">
        <v>31</v>
      </c>
      <c r="E8" s="11">
        <v>44035</v>
      </c>
      <c r="F8" s="11">
        <v>28</v>
      </c>
      <c r="G8" s="11">
        <v>24</v>
      </c>
      <c r="H8" s="11">
        <v>4</v>
      </c>
      <c r="I8" s="11">
        <v>231.1</v>
      </c>
      <c r="J8" s="11">
        <v>0</v>
      </c>
      <c r="K8" s="11">
        <v>24889</v>
      </c>
      <c r="L8" s="11">
        <v>0</v>
      </c>
      <c r="M8" s="11">
        <v>13402</v>
      </c>
      <c r="N8" s="11">
        <v>1915</v>
      </c>
      <c r="O8" s="11">
        <v>3829</v>
      </c>
      <c r="P8" s="11">
        <v>0</v>
      </c>
      <c r="Q8" s="11">
        <v>0</v>
      </c>
      <c r="R8" s="11">
        <v>44035</v>
      </c>
      <c r="S8" s="11">
        <v>1800</v>
      </c>
      <c r="T8" s="11">
        <v>1800</v>
      </c>
      <c r="U8" s="11">
        <v>208</v>
      </c>
      <c r="V8" s="11">
        <v>0</v>
      </c>
      <c r="W8" s="11">
        <v>0</v>
      </c>
      <c r="X8" s="11">
        <v>0</v>
      </c>
      <c r="Y8" s="11">
        <v>0</v>
      </c>
      <c r="Z8" s="11">
        <v>2008</v>
      </c>
      <c r="AA8" s="11">
        <v>42027</v>
      </c>
      <c r="AB8" s="11">
        <v>42027</v>
      </c>
    </row>
    <row r="9" spans="1:28" ht="15" customHeight="1" x14ac:dyDescent="0.25">
      <c r="A9" s="25">
        <v>8</v>
      </c>
      <c r="B9" s="11" t="s">
        <v>39</v>
      </c>
      <c r="C9" s="11" t="s">
        <v>30</v>
      </c>
      <c r="D9" s="11" t="s">
        <v>31</v>
      </c>
      <c r="E9" s="11">
        <v>32008</v>
      </c>
      <c r="F9" s="11">
        <v>28</v>
      </c>
      <c r="G9" s="11">
        <v>24</v>
      </c>
      <c r="H9" s="11">
        <v>4</v>
      </c>
      <c r="I9" s="11">
        <v>201.85</v>
      </c>
      <c r="J9" s="11">
        <v>0.55000000000000004</v>
      </c>
      <c r="K9" s="11">
        <v>16004</v>
      </c>
      <c r="L9" s="11">
        <v>0</v>
      </c>
      <c r="M9" s="11">
        <v>11203</v>
      </c>
      <c r="N9" s="11">
        <v>3201</v>
      </c>
      <c r="O9" s="11">
        <v>1600</v>
      </c>
      <c r="P9" s="11">
        <v>0</v>
      </c>
      <c r="Q9" s="11">
        <v>0</v>
      </c>
      <c r="R9" s="11">
        <v>32008</v>
      </c>
      <c r="S9" s="11">
        <v>1800</v>
      </c>
      <c r="T9" s="11">
        <v>1800</v>
      </c>
      <c r="U9" s="11">
        <v>208</v>
      </c>
      <c r="V9" s="11">
        <v>0</v>
      </c>
      <c r="W9" s="11">
        <v>0</v>
      </c>
      <c r="X9" s="11">
        <v>0</v>
      </c>
      <c r="Y9" s="11">
        <v>0</v>
      </c>
      <c r="Z9" s="11">
        <v>2008</v>
      </c>
      <c r="AA9" s="11">
        <v>30000</v>
      </c>
      <c r="AB9" s="11">
        <v>30000</v>
      </c>
    </row>
    <row r="10" spans="1:28" ht="15" customHeight="1" x14ac:dyDescent="0.25">
      <c r="A10" s="25">
        <v>9</v>
      </c>
      <c r="B10" s="11" t="s">
        <v>40</v>
      </c>
      <c r="C10" s="11" t="s">
        <v>30</v>
      </c>
      <c r="D10" s="11" t="s">
        <v>31</v>
      </c>
      <c r="E10" s="11">
        <v>13286</v>
      </c>
      <c r="F10" s="11">
        <v>23</v>
      </c>
      <c r="G10" s="11">
        <v>18.5</v>
      </c>
      <c r="H10" s="11">
        <v>4.5</v>
      </c>
      <c r="I10" s="11">
        <v>140.85</v>
      </c>
      <c r="J10" s="11">
        <v>16.27</v>
      </c>
      <c r="K10" s="11">
        <v>7093.86</v>
      </c>
      <c r="L10" s="11">
        <v>0</v>
      </c>
      <c r="M10" s="11">
        <v>3819.64</v>
      </c>
      <c r="N10" s="11">
        <v>0</v>
      </c>
      <c r="O10" s="11">
        <v>0</v>
      </c>
      <c r="P10" s="11">
        <v>0</v>
      </c>
      <c r="Q10" s="11">
        <v>0</v>
      </c>
      <c r="R10" s="11">
        <v>10913.5</v>
      </c>
      <c r="S10" s="11">
        <v>851</v>
      </c>
      <c r="T10" s="11">
        <v>851</v>
      </c>
      <c r="U10" s="11">
        <v>0</v>
      </c>
      <c r="V10" s="11">
        <v>82</v>
      </c>
      <c r="W10" s="11">
        <v>355</v>
      </c>
      <c r="X10" s="11">
        <v>783.8</v>
      </c>
      <c r="Y10" s="11">
        <v>0</v>
      </c>
      <c r="Z10" s="11">
        <v>1716.8</v>
      </c>
      <c r="AA10" s="11">
        <v>9196.7000000000007</v>
      </c>
      <c r="AB10" s="11">
        <v>9196.7000000000007</v>
      </c>
    </row>
    <row r="11" spans="1:28" ht="15" customHeight="1" x14ac:dyDescent="0.25">
      <c r="A11" s="25">
        <v>10</v>
      </c>
      <c r="B11" s="11" t="s">
        <v>41</v>
      </c>
      <c r="C11" s="11" t="s">
        <v>30</v>
      </c>
      <c r="D11" s="11" t="s">
        <v>31</v>
      </c>
      <c r="E11" s="11">
        <v>90000</v>
      </c>
      <c r="F11" s="11">
        <v>27</v>
      </c>
      <c r="G11" s="11">
        <v>20</v>
      </c>
      <c r="H11" s="11">
        <v>7</v>
      </c>
      <c r="I11" s="11">
        <v>141.47</v>
      </c>
      <c r="J11" s="11">
        <v>13.8</v>
      </c>
      <c r="K11" s="11">
        <v>43392.86</v>
      </c>
      <c r="L11" s="11">
        <v>0</v>
      </c>
      <c r="M11" s="11">
        <v>30375</v>
      </c>
      <c r="N11" s="11">
        <v>4339.29</v>
      </c>
      <c r="O11" s="11">
        <v>8678.57</v>
      </c>
      <c r="P11" s="11">
        <v>0</v>
      </c>
      <c r="Q11" s="11">
        <v>0</v>
      </c>
      <c r="R11" s="11">
        <v>86785.71</v>
      </c>
      <c r="S11" s="11">
        <v>0</v>
      </c>
      <c r="T11" s="11">
        <v>0</v>
      </c>
      <c r="U11" s="11">
        <v>208</v>
      </c>
      <c r="V11" s="11">
        <v>0</v>
      </c>
      <c r="W11" s="11">
        <v>0</v>
      </c>
      <c r="X11" s="11">
        <v>4232.1400000000003</v>
      </c>
      <c r="Y11" s="11">
        <v>0</v>
      </c>
      <c r="Z11" s="11">
        <v>4440.1400000000003</v>
      </c>
      <c r="AA11" s="11">
        <v>82345.570000000007</v>
      </c>
      <c r="AB11" s="11">
        <v>82345.570000000007</v>
      </c>
    </row>
    <row r="12" spans="1:28" ht="15" customHeight="1" x14ac:dyDescent="0.25">
      <c r="A12" s="25">
        <v>11</v>
      </c>
      <c r="B12" s="11" t="s">
        <v>42</v>
      </c>
      <c r="C12" s="11" t="s">
        <v>30</v>
      </c>
      <c r="D12" s="11" t="s">
        <v>31</v>
      </c>
      <c r="E12" s="11">
        <v>27008</v>
      </c>
      <c r="F12" s="11">
        <v>28</v>
      </c>
      <c r="G12" s="11">
        <v>24</v>
      </c>
      <c r="H12" s="11">
        <v>4</v>
      </c>
      <c r="I12" s="11">
        <v>195.1</v>
      </c>
      <c r="J12" s="11">
        <v>9.9700000000000006</v>
      </c>
      <c r="K12" s="11">
        <v>13504</v>
      </c>
      <c r="L12" s="11">
        <v>0</v>
      </c>
      <c r="M12" s="11">
        <v>9453</v>
      </c>
      <c r="N12" s="11">
        <v>1350</v>
      </c>
      <c r="O12" s="11">
        <v>2701</v>
      </c>
      <c r="P12" s="11">
        <v>0</v>
      </c>
      <c r="Q12" s="11">
        <v>0</v>
      </c>
      <c r="R12" s="11">
        <v>27008</v>
      </c>
      <c r="S12" s="11">
        <v>1800</v>
      </c>
      <c r="T12" s="11">
        <v>1800</v>
      </c>
      <c r="U12" s="11">
        <v>208</v>
      </c>
      <c r="V12" s="11">
        <v>0</v>
      </c>
      <c r="W12" s="11">
        <v>0</v>
      </c>
      <c r="X12" s="11">
        <v>871.48</v>
      </c>
      <c r="Y12" s="11">
        <v>0</v>
      </c>
      <c r="Z12" s="11">
        <v>2879.48</v>
      </c>
      <c r="AA12" s="11">
        <v>24128.52</v>
      </c>
      <c r="AB12" s="11">
        <v>24128.52</v>
      </c>
    </row>
    <row r="13" spans="1:28" ht="15" customHeight="1" x14ac:dyDescent="0.25">
      <c r="A13" s="25">
        <v>12</v>
      </c>
      <c r="B13" s="11" t="s">
        <v>43</v>
      </c>
      <c r="C13" s="11" t="s">
        <v>30</v>
      </c>
      <c r="D13" s="11" t="s">
        <v>31</v>
      </c>
      <c r="E13" s="11">
        <v>99751</v>
      </c>
      <c r="F13" s="11">
        <v>25</v>
      </c>
      <c r="G13" s="11">
        <v>21</v>
      </c>
      <c r="H13" s="11">
        <v>4</v>
      </c>
      <c r="I13" s="11">
        <v>152.22999999999999</v>
      </c>
      <c r="J13" s="11">
        <v>0</v>
      </c>
      <c r="K13" s="11">
        <v>44531.25</v>
      </c>
      <c r="L13" s="11">
        <v>0</v>
      </c>
      <c r="M13" s="11">
        <v>31172.32</v>
      </c>
      <c r="N13" s="11">
        <v>4453.57</v>
      </c>
      <c r="O13" s="11">
        <v>8906.25</v>
      </c>
      <c r="P13" s="11">
        <v>0</v>
      </c>
      <c r="Q13" s="11">
        <v>0</v>
      </c>
      <c r="R13" s="11">
        <v>89063.39</v>
      </c>
      <c r="S13" s="11">
        <v>0</v>
      </c>
      <c r="T13" s="11">
        <v>0</v>
      </c>
      <c r="U13" s="11">
        <v>208</v>
      </c>
      <c r="V13" s="11">
        <v>0</v>
      </c>
      <c r="W13" s="11">
        <v>0</v>
      </c>
      <c r="X13" s="11">
        <v>0</v>
      </c>
      <c r="Y13" s="11">
        <v>0</v>
      </c>
      <c r="Z13" s="11">
        <v>208</v>
      </c>
      <c r="AA13" s="11">
        <v>88855.39</v>
      </c>
      <c r="AB13" s="11">
        <v>88855.39</v>
      </c>
    </row>
    <row r="14" spans="1:28" ht="15" customHeight="1" x14ac:dyDescent="0.25">
      <c r="A14" s="25">
        <v>13</v>
      </c>
      <c r="B14" s="11" t="s">
        <v>44</v>
      </c>
      <c r="C14" s="11" t="s">
        <v>30</v>
      </c>
      <c r="D14" s="11" t="s">
        <v>31</v>
      </c>
      <c r="E14" s="11">
        <v>41534</v>
      </c>
      <c r="F14" s="11">
        <v>28</v>
      </c>
      <c r="G14" s="11">
        <v>24</v>
      </c>
      <c r="H14" s="11">
        <v>4</v>
      </c>
      <c r="I14" s="11">
        <v>128.63</v>
      </c>
      <c r="J14" s="11">
        <v>0</v>
      </c>
      <c r="K14" s="11">
        <v>23475</v>
      </c>
      <c r="L14" s="11">
        <v>0</v>
      </c>
      <c r="M14" s="11">
        <v>12641</v>
      </c>
      <c r="N14" s="11">
        <v>1806</v>
      </c>
      <c r="O14" s="11">
        <v>3612</v>
      </c>
      <c r="P14" s="11">
        <v>0</v>
      </c>
      <c r="Q14" s="11">
        <v>0</v>
      </c>
      <c r="R14" s="11">
        <v>41534</v>
      </c>
      <c r="S14" s="11">
        <v>1800</v>
      </c>
      <c r="T14" s="11">
        <v>1800</v>
      </c>
      <c r="U14" s="11">
        <v>208</v>
      </c>
      <c r="V14" s="11">
        <v>0</v>
      </c>
      <c r="W14" s="11">
        <v>0</v>
      </c>
      <c r="X14" s="11">
        <v>0</v>
      </c>
      <c r="Y14" s="11">
        <v>0</v>
      </c>
      <c r="Z14" s="11">
        <v>2008</v>
      </c>
      <c r="AA14" s="11">
        <v>39526</v>
      </c>
      <c r="AB14" s="11">
        <v>39526</v>
      </c>
    </row>
    <row r="15" spans="1:28" ht="15" customHeight="1" x14ac:dyDescent="0.25">
      <c r="A15" s="25">
        <v>14</v>
      </c>
      <c r="B15" s="11" t="s">
        <v>45</v>
      </c>
      <c r="C15" s="11" t="s">
        <v>30</v>
      </c>
      <c r="D15" s="11" t="s">
        <v>31</v>
      </c>
      <c r="E15" s="11">
        <v>28200</v>
      </c>
      <c r="F15" s="11">
        <v>28</v>
      </c>
      <c r="G15" s="11">
        <v>24</v>
      </c>
      <c r="H15" s="11">
        <v>4</v>
      </c>
      <c r="I15" s="11">
        <v>203.62</v>
      </c>
      <c r="J15" s="11">
        <v>0.27</v>
      </c>
      <c r="K15" s="11">
        <v>15939</v>
      </c>
      <c r="L15" s="11">
        <v>0</v>
      </c>
      <c r="M15" s="11">
        <v>8583</v>
      </c>
      <c r="N15" s="11">
        <v>1226</v>
      </c>
      <c r="O15" s="11">
        <v>2452</v>
      </c>
      <c r="P15" s="11">
        <v>0</v>
      </c>
      <c r="Q15" s="11">
        <v>0</v>
      </c>
      <c r="R15" s="11">
        <v>28200</v>
      </c>
      <c r="S15" s="11">
        <v>1800</v>
      </c>
      <c r="T15" s="11">
        <v>1800</v>
      </c>
      <c r="U15" s="11">
        <v>208</v>
      </c>
      <c r="V15" s="11">
        <v>0</v>
      </c>
      <c r="W15" s="11">
        <v>0</v>
      </c>
      <c r="X15" s="11">
        <v>0</v>
      </c>
      <c r="Y15" s="11">
        <v>0</v>
      </c>
      <c r="Z15" s="11">
        <v>2008</v>
      </c>
      <c r="AA15" s="11">
        <v>26192</v>
      </c>
      <c r="AB15" s="11">
        <v>26192</v>
      </c>
    </row>
    <row r="16" spans="1:28" ht="15" customHeight="1" x14ac:dyDescent="0.25">
      <c r="A16" s="25">
        <v>15</v>
      </c>
      <c r="B16" s="11" t="s">
        <v>46</v>
      </c>
      <c r="C16" s="11" t="s">
        <v>30</v>
      </c>
      <c r="D16" s="11" t="s">
        <v>31</v>
      </c>
      <c r="E16" s="11">
        <v>23200</v>
      </c>
      <c r="F16" s="11">
        <v>28</v>
      </c>
      <c r="G16" s="11">
        <v>22.5</v>
      </c>
      <c r="H16" s="11">
        <v>5.5</v>
      </c>
      <c r="I16" s="11">
        <v>179.8</v>
      </c>
      <c r="J16" s="11">
        <v>2.2200000000000002</v>
      </c>
      <c r="K16" s="11">
        <v>15080</v>
      </c>
      <c r="L16" s="11">
        <v>0</v>
      </c>
      <c r="M16" s="11">
        <v>8120</v>
      </c>
      <c r="N16" s="11">
        <v>0</v>
      </c>
      <c r="O16" s="11">
        <v>0</v>
      </c>
      <c r="P16" s="11">
        <v>0</v>
      </c>
      <c r="Q16" s="11">
        <v>0</v>
      </c>
      <c r="R16" s="11">
        <v>23200</v>
      </c>
      <c r="S16" s="11">
        <v>1800</v>
      </c>
      <c r="T16" s="11">
        <v>1800</v>
      </c>
      <c r="U16" s="11">
        <v>180</v>
      </c>
      <c r="V16" s="11">
        <v>0</v>
      </c>
      <c r="W16" s="11">
        <v>0</v>
      </c>
      <c r="X16" s="11">
        <v>93.59</v>
      </c>
      <c r="Y16" s="11">
        <v>0</v>
      </c>
      <c r="Z16" s="11">
        <v>2073.59</v>
      </c>
      <c r="AA16" s="11">
        <v>21126.41</v>
      </c>
      <c r="AB16" s="11">
        <v>21126.41</v>
      </c>
    </row>
    <row r="17" spans="1:28" ht="15" customHeight="1" x14ac:dyDescent="0.25">
      <c r="A17" s="25">
        <v>16</v>
      </c>
      <c r="B17" s="11" t="s">
        <v>47</v>
      </c>
      <c r="C17" s="11" t="s">
        <v>30</v>
      </c>
      <c r="D17" s="11" t="s">
        <v>31</v>
      </c>
      <c r="E17" s="11">
        <v>36017</v>
      </c>
      <c r="F17" s="11">
        <v>28</v>
      </c>
      <c r="G17" s="11">
        <v>23</v>
      </c>
      <c r="H17" s="11">
        <v>5</v>
      </c>
      <c r="I17" s="11">
        <v>191.43</v>
      </c>
      <c r="J17" s="11">
        <v>4.12</v>
      </c>
      <c r="K17" s="11">
        <v>18008</v>
      </c>
      <c r="L17" s="11">
        <v>0</v>
      </c>
      <c r="M17" s="11">
        <v>12606</v>
      </c>
      <c r="N17" s="11">
        <v>1801</v>
      </c>
      <c r="O17" s="11">
        <v>3602</v>
      </c>
      <c r="P17" s="11">
        <v>0</v>
      </c>
      <c r="Q17" s="11">
        <v>0</v>
      </c>
      <c r="R17" s="11">
        <v>36017</v>
      </c>
      <c r="S17" s="11">
        <v>1800</v>
      </c>
      <c r="T17" s="11">
        <v>1800</v>
      </c>
      <c r="U17" s="11">
        <v>208</v>
      </c>
      <c r="V17" s="11">
        <v>0</v>
      </c>
      <c r="W17" s="11">
        <v>0</v>
      </c>
      <c r="X17" s="11">
        <v>404.95</v>
      </c>
      <c r="Y17" s="11">
        <v>0</v>
      </c>
      <c r="Z17" s="11">
        <v>2412.9499999999998</v>
      </c>
      <c r="AA17" s="11">
        <v>33604.050000000003</v>
      </c>
      <c r="AB17" s="11">
        <v>33604.050000000003</v>
      </c>
    </row>
    <row r="18" spans="1:28" ht="15" customHeight="1" x14ac:dyDescent="0.25">
      <c r="A18" s="25">
        <v>17</v>
      </c>
      <c r="B18" s="11" t="s">
        <v>48</v>
      </c>
      <c r="C18" s="11" t="s">
        <v>30</v>
      </c>
      <c r="D18" s="11" t="s">
        <v>31</v>
      </c>
      <c r="E18" s="11">
        <v>15008</v>
      </c>
      <c r="F18" s="11">
        <v>27</v>
      </c>
      <c r="G18" s="11">
        <v>23</v>
      </c>
      <c r="H18" s="11">
        <v>4</v>
      </c>
      <c r="I18" s="11">
        <v>185.47</v>
      </c>
      <c r="J18" s="11">
        <v>2.0299999999999998</v>
      </c>
      <c r="K18" s="11">
        <v>7236</v>
      </c>
      <c r="L18" s="11">
        <v>0</v>
      </c>
      <c r="M18" s="11">
        <v>5065.3900000000003</v>
      </c>
      <c r="N18" s="11">
        <v>723.21</v>
      </c>
      <c r="O18" s="11">
        <v>1447.39</v>
      </c>
      <c r="P18" s="11">
        <v>0</v>
      </c>
      <c r="Q18" s="11">
        <v>0</v>
      </c>
      <c r="R18" s="11">
        <v>14472</v>
      </c>
      <c r="S18" s="11">
        <v>1129</v>
      </c>
      <c r="T18" s="11">
        <v>1129</v>
      </c>
      <c r="U18" s="11">
        <v>0</v>
      </c>
      <c r="V18" s="11">
        <v>109</v>
      </c>
      <c r="W18" s="11">
        <v>471</v>
      </c>
      <c r="X18" s="11">
        <v>71.47</v>
      </c>
      <c r="Y18" s="11">
        <v>0</v>
      </c>
      <c r="Z18" s="11">
        <v>1309.47</v>
      </c>
      <c r="AA18" s="11">
        <v>13162.53</v>
      </c>
      <c r="AB18" s="11">
        <v>13162.53</v>
      </c>
    </row>
    <row r="19" spans="1:28" ht="15" customHeight="1" x14ac:dyDescent="0.25">
      <c r="A19" s="25">
        <v>18</v>
      </c>
      <c r="B19" s="11" t="s">
        <v>49</v>
      </c>
      <c r="C19" s="11" t="s">
        <v>30</v>
      </c>
      <c r="D19" s="11" t="s">
        <v>31</v>
      </c>
      <c r="E19" s="11">
        <v>28200</v>
      </c>
      <c r="F19" s="11">
        <v>25</v>
      </c>
      <c r="G19" s="11">
        <v>21</v>
      </c>
      <c r="H19" s="11">
        <v>4</v>
      </c>
      <c r="I19" s="11">
        <v>166.55</v>
      </c>
      <c r="J19" s="11">
        <v>4.75</v>
      </c>
      <c r="K19" s="11">
        <v>16366.07</v>
      </c>
      <c r="L19" s="11">
        <v>0</v>
      </c>
      <c r="M19" s="11">
        <v>8812.5</v>
      </c>
      <c r="N19" s="11">
        <v>0</v>
      </c>
      <c r="O19" s="11">
        <v>0</v>
      </c>
      <c r="P19" s="11">
        <v>0</v>
      </c>
      <c r="Q19" s="11">
        <v>0</v>
      </c>
      <c r="R19" s="11">
        <v>25178.57</v>
      </c>
      <c r="S19" s="11">
        <v>1800</v>
      </c>
      <c r="T19" s="11">
        <v>1800</v>
      </c>
      <c r="U19" s="11">
        <v>208</v>
      </c>
      <c r="V19" s="11">
        <v>0</v>
      </c>
      <c r="W19" s="11">
        <v>0</v>
      </c>
      <c r="X19" s="11">
        <v>401</v>
      </c>
      <c r="Y19" s="11">
        <v>0</v>
      </c>
      <c r="Z19" s="11">
        <v>2409</v>
      </c>
      <c r="AA19" s="11">
        <v>22769.57</v>
      </c>
      <c r="AB19" s="11">
        <v>22769.57</v>
      </c>
    </row>
    <row r="20" spans="1:28" ht="15" customHeight="1" x14ac:dyDescent="0.25">
      <c r="A20" s="25">
        <v>19</v>
      </c>
      <c r="B20" s="11" t="s">
        <v>50</v>
      </c>
      <c r="C20" s="11" t="s">
        <v>30</v>
      </c>
      <c r="D20" s="11" t="s">
        <v>31</v>
      </c>
      <c r="E20" s="11">
        <v>18009</v>
      </c>
      <c r="F20" s="11">
        <v>26</v>
      </c>
      <c r="G20" s="11">
        <v>22</v>
      </c>
      <c r="H20" s="11">
        <v>4</v>
      </c>
      <c r="I20" s="11">
        <v>185.28</v>
      </c>
      <c r="J20" s="11">
        <v>0.4</v>
      </c>
      <c r="K20" s="11">
        <v>8361.7900000000009</v>
      </c>
      <c r="L20" s="11">
        <v>0</v>
      </c>
      <c r="M20" s="11">
        <v>5852.79</v>
      </c>
      <c r="N20" s="11">
        <v>835.71</v>
      </c>
      <c r="O20" s="11">
        <v>1672.36</v>
      </c>
      <c r="P20" s="11">
        <v>0</v>
      </c>
      <c r="Q20" s="11">
        <v>0</v>
      </c>
      <c r="R20" s="11">
        <v>16722.64</v>
      </c>
      <c r="S20" s="11">
        <v>1304</v>
      </c>
      <c r="T20" s="11">
        <v>1304</v>
      </c>
      <c r="U20" s="11">
        <v>180</v>
      </c>
      <c r="V20" s="11">
        <v>126</v>
      </c>
      <c r="W20" s="11">
        <v>544</v>
      </c>
      <c r="X20" s="11">
        <v>0</v>
      </c>
      <c r="Y20" s="11">
        <v>0</v>
      </c>
      <c r="Z20" s="11">
        <v>1610</v>
      </c>
      <c r="AA20" s="11">
        <v>15112.64</v>
      </c>
      <c r="AB20" s="11">
        <v>15112.64</v>
      </c>
    </row>
    <row r="21" spans="1:28" ht="15" customHeight="1" x14ac:dyDescent="0.25">
      <c r="A21" s="25">
        <v>20</v>
      </c>
      <c r="B21" s="11" t="s">
        <v>51</v>
      </c>
      <c r="C21" s="11" t="s">
        <v>30</v>
      </c>
      <c r="D21" s="11" t="s">
        <v>31</v>
      </c>
      <c r="E21" s="11">
        <v>40440</v>
      </c>
      <c r="F21" s="11">
        <v>28</v>
      </c>
      <c r="G21" s="11">
        <v>24</v>
      </c>
      <c r="H21" s="11">
        <v>4</v>
      </c>
      <c r="I21" s="11">
        <v>203.13</v>
      </c>
      <c r="J21" s="11">
        <v>5.45</v>
      </c>
      <c r="K21" s="11">
        <v>20220</v>
      </c>
      <c r="L21" s="11">
        <v>0</v>
      </c>
      <c r="M21" s="11">
        <v>14154</v>
      </c>
      <c r="N21" s="11">
        <v>2022</v>
      </c>
      <c r="O21" s="11">
        <v>4044</v>
      </c>
      <c r="P21" s="11">
        <v>0</v>
      </c>
      <c r="Q21" s="11">
        <v>0</v>
      </c>
      <c r="R21" s="11">
        <v>40440</v>
      </c>
      <c r="S21" s="11">
        <v>1800</v>
      </c>
      <c r="T21" s="11">
        <v>1800</v>
      </c>
      <c r="U21" s="11">
        <v>208</v>
      </c>
      <c r="V21" s="11">
        <v>0</v>
      </c>
      <c r="W21" s="11">
        <v>0</v>
      </c>
      <c r="X21" s="11">
        <v>615.16</v>
      </c>
      <c r="Y21" s="11">
        <v>0</v>
      </c>
      <c r="Z21" s="11">
        <v>2623.16</v>
      </c>
      <c r="AA21" s="11">
        <v>37816.839999999997</v>
      </c>
      <c r="AB21" s="11">
        <v>37816.839999999997</v>
      </c>
    </row>
    <row r="22" spans="1:28" ht="15" customHeight="1" x14ac:dyDescent="0.25">
      <c r="A22" s="25">
        <v>21</v>
      </c>
      <c r="B22" s="11" t="s">
        <v>52</v>
      </c>
      <c r="C22" s="11" t="s">
        <v>30</v>
      </c>
      <c r="D22" s="11" t="s">
        <v>31</v>
      </c>
      <c r="E22" s="11">
        <v>14858</v>
      </c>
      <c r="F22" s="11">
        <v>28</v>
      </c>
      <c r="G22" s="11">
        <v>24</v>
      </c>
      <c r="H22" s="11">
        <v>4</v>
      </c>
      <c r="I22" s="11">
        <v>197.82</v>
      </c>
      <c r="J22" s="11">
        <v>7.87</v>
      </c>
      <c r="K22" s="11">
        <v>9658</v>
      </c>
      <c r="L22" s="11">
        <v>0</v>
      </c>
      <c r="M22" s="11">
        <v>5200</v>
      </c>
      <c r="N22" s="11">
        <v>0</v>
      </c>
      <c r="O22" s="11">
        <v>0</v>
      </c>
      <c r="P22" s="11">
        <v>0</v>
      </c>
      <c r="Q22" s="11">
        <v>0</v>
      </c>
      <c r="R22" s="11">
        <v>14858</v>
      </c>
      <c r="S22" s="11">
        <v>1159</v>
      </c>
      <c r="T22" s="11">
        <v>1159</v>
      </c>
      <c r="U22" s="11">
        <v>0</v>
      </c>
      <c r="V22" s="11">
        <v>112</v>
      </c>
      <c r="W22" s="11">
        <v>483</v>
      </c>
      <c r="X22" s="11">
        <v>398.96</v>
      </c>
      <c r="Y22" s="11">
        <v>0</v>
      </c>
      <c r="Z22" s="11">
        <v>1669.96</v>
      </c>
      <c r="AA22" s="11">
        <v>13188.04</v>
      </c>
      <c r="AB22" s="11">
        <v>13188.04</v>
      </c>
    </row>
    <row r="23" spans="1:28" ht="15" customHeight="1" x14ac:dyDescent="0.25">
      <c r="A23" s="25">
        <v>22</v>
      </c>
      <c r="B23" s="11" t="s">
        <v>53</v>
      </c>
      <c r="C23" s="11" t="s">
        <v>30</v>
      </c>
      <c r="D23" s="11" t="s">
        <v>31</v>
      </c>
      <c r="E23" s="11">
        <v>46876</v>
      </c>
      <c r="F23" s="11">
        <v>21</v>
      </c>
      <c r="G23" s="11">
        <v>17</v>
      </c>
      <c r="H23" s="11">
        <v>4</v>
      </c>
      <c r="I23" s="11">
        <v>133.32</v>
      </c>
      <c r="J23" s="11">
        <v>3.13</v>
      </c>
      <c r="K23" s="11">
        <v>17578.5</v>
      </c>
      <c r="L23" s="11">
        <v>0</v>
      </c>
      <c r="M23" s="11">
        <v>12304.5</v>
      </c>
      <c r="N23" s="11">
        <v>1758</v>
      </c>
      <c r="O23" s="11">
        <v>3516</v>
      </c>
      <c r="P23" s="11">
        <v>0</v>
      </c>
      <c r="Q23" s="11">
        <v>0</v>
      </c>
      <c r="R23" s="11">
        <v>35157</v>
      </c>
      <c r="S23" s="11">
        <v>0</v>
      </c>
      <c r="T23" s="11">
        <v>0</v>
      </c>
      <c r="U23" s="11">
        <v>208</v>
      </c>
      <c r="V23" s="11">
        <v>0</v>
      </c>
      <c r="W23" s="11">
        <v>0</v>
      </c>
      <c r="X23" s="11">
        <v>155.01</v>
      </c>
      <c r="Y23" s="11">
        <v>0</v>
      </c>
      <c r="Z23" s="11">
        <v>363.01</v>
      </c>
      <c r="AA23" s="11">
        <v>34793.99</v>
      </c>
      <c r="AB23" s="11">
        <v>34793.99</v>
      </c>
    </row>
    <row r="24" spans="1:28" ht="15" customHeight="1" x14ac:dyDescent="0.25">
      <c r="A24" s="25">
        <v>23</v>
      </c>
      <c r="B24" s="11" t="s">
        <v>54</v>
      </c>
      <c r="C24" s="11" t="s">
        <v>30</v>
      </c>
      <c r="D24" s="11" t="s">
        <v>31</v>
      </c>
      <c r="E24" s="11">
        <v>38200</v>
      </c>
      <c r="F24" s="11">
        <v>28</v>
      </c>
      <c r="G24" s="11">
        <v>22</v>
      </c>
      <c r="H24" s="11">
        <v>6</v>
      </c>
      <c r="I24" s="11">
        <v>168.52</v>
      </c>
      <c r="J24" s="11">
        <v>0</v>
      </c>
      <c r="K24" s="11">
        <v>24830</v>
      </c>
      <c r="L24" s="11">
        <v>0</v>
      </c>
      <c r="M24" s="11">
        <v>13370</v>
      </c>
      <c r="N24" s="11">
        <v>0</v>
      </c>
      <c r="O24" s="11">
        <v>0</v>
      </c>
      <c r="P24" s="11">
        <v>0</v>
      </c>
      <c r="Q24" s="11">
        <v>0</v>
      </c>
      <c r="R24" s="11">
        <v>38200</v>
      </c>
      <c r="S24" s="11">
        <v>1800</v>
      </c>
      <c r="T24" s="11">
        <v>1800</v>
      </c>
      <c r="U24" s="11">
        <v>208</v>
      </c>
      <c r="V24" s="11">
        <v>0</v>
      </c>
      <c r="W24" s="11">
        <v>0</v>
      </c>
      <c r="X24" s="11">
        <v>0</v>
      </c>
      <c r="Y24" s="11">
        <v>0</v>
      </c>
      <c r="Z24" s="11">
        <v>2008</v>
      </c>
      <c r="AA24" s="11">
        <v>36192</v>
      </c>
      <c r="AB24" s="11">
        <v>36192</v>
      </c>
    </row>
    <row r="25" spans="1:28" ht="15" customHeight="1" x14ac:dyDescent="0.25">
      <c r="A25" s="25">
        <v>24</v>
      </c>
      <c r="B25" s="11" t="s">
        <v>55</v>
      </c>
      <c r="C25" s="11" t="s">
        <v>30</v>
      </c>
      <c r="D25" s="11" t="s">
        <v>31</v>
      </c>
      <c r="E25" s="11">
        <v>34500</v>
      </c>
      <c r="F25" s="11">
        <v>28</v>
      </c>
      <c r="G25" s="11">
        <v>22.5</v>
      </c>
      <c r="H25" s="11">
        <v>5.5</v>
      </c>
      <c r="I25" s="11">
        <v>186.95</v>
      </c>
      <c r="J25" s="11">
        <v>4.07</v>
      </c>
      <c r="K25" s="11">
        <v>17250</v>
      </c>
      <c r="L25" s="11">
        <v>0</v>
      </c>
      <c r="M25" s="11">
        <v>12075</v>
      </c>
      <c r="N25" s="11">
        <v>1725</v>
      </c>
      <c r="O25" s="11">
        <v>3450</v>
      </c>
      <c r="P25" s="11">
        <v>0</v>
      </c>
      <c r="Q25" s="11">
        <v>0</v>
      </c>
      <c r="R25" s="11">
        <v>34500</v>
      </c>
      <c r="S25" s="11">
        <v>1800</v>
      </c>
      <c r="T25" s="11">
        <v>1800</v>
      </c>
      <c r="U25" s="11">
        <v>208</v>
      </c>
      <c r="V25" s="11">
        <v>0</v>
      </c>
      <c r="W25" s="11">
        <v>0</v>
      </c>
      <c r="X25" s="11">
        <v>417.55</v>
      </c>
      <c r="Y25" s="11">
        <v>0</v>
      </c>
      <c r="Z25" s="11">
        <v>2425.5500000000002</v>
      </c>
      <c r="AA25" s="11">
        <v>32074.45</v>
      </c>
      <c r="AB25" s="11">
        <v>32074.45</v>
      </c>
    </row>
    <row r="26" spans="1:28" ht="15" customHeight="1" x14ac:dyDescent="0.25">
      <c r="A26" s="25">
        <v>25</v>
      </c>
      <c r="B26" s="11" t="s">
        <v>56</v>
      </c>
      <c r="C26" s="11" t="s">
        <v>30</v>
      </c>
      <c r="D26" s="11" t="s">
        <v>31</v>
      </c>
      <c r="E26" s="11">
        <v>43700</v>
      </c>
      <c r="F26" s="11">
        <v>28</v>
      </c>
      <c r="G26" s="11">
        <v>23</v>
      </c>
      <c r="H26" s="11">
        <v>5</v>
      </c>
      <c r="I26" s="11">
        <v>185.68</v>
      </c>
      <c r="J26" s="11">
        <v>1.32</v>
      </c>
      <c r="K26" s="11">
        <v>21850</v>
      </c>
      <c r="L26" s="11">
        <v>0</v>
      </c>
      <c r="M26" s="11">
        <v>15295</v>
      </c>
      <c r="N26" s="11">
        <v>2185</v>
      </c>
      <c r="O26" s="11">
        <v>4370</v>
      </c>
      <c r="P26" s="11">
        <v>0</v>
      </c>
      <c r="Q26" s="11">
        <v>0</v>
      </c>
      <c r="R26" s="11">
        <v>43700</v>
      </c>
      <c r="S26" s="11">
        <v>1800</v>
      </c>
      <c r="T26" s="11">
        <v>1800</v>
      </c>
      <c r="U26" s="11">
        <v>208</v>
      </c>
      <c r="V26" s="11">
        <v>0</v>
      </c>
      <c r="W26" s="11">
        <v>0</v>
      </c>
      <c r="X26" s="11">
        <v>0</v>
      </c>
      <c r="Y26" s="11">
        <v>0</v>
      </c>
      <c r="Z26" s="11">
        <v>2008</v>
      </c>
      <c r="AA26" s="11">
        <v>41692</v>
      </c>
      <c r="AB26" s="11">
        <v>41692</v>
      </c>
    </row>
    <row r="27" spans="1:28" ht="15" customHeight="1" x14ac:dyDescent="0.25">
      <c r="A27" s="25">
        <v>26</v>
      </c>
      <c r="B27" s="11" t="s">
        <v>57</v>
      </c>
      <c r="C27" s="11" t="s">
        <v>30</v>
      </c>
      <c r="D27" s="11" t="s">
        <v>31</v>
      </c>
      <c r="E27" s="11">
        <v>16749</v>
      </c>
      <c r="F27" s="11">
        <v>27</v>
      </c>
      <c r="G27" s="11">
        <v>23</v>
      </c>
      <c r="H27" s="11">
        <v>4</v>
      </c>
      <c r="I27" s="11">
        <v>195.53</v>
      </c>
      <c r="J27" s="11">
        <v>3.38</v>
      </c>
      <c r="K27" s="11">
        <v>10498.18</v>
      </c>
      <c r="L27" s="11">
        <v>0</v>
      </c>
      <c r="M27" s="11">
        <v>5652.64</v>
      </c>
      <c r="N27" s="11">
        <v>0</v>
      </c>
      <c r="O27" s="11">
        <v>0</v>
      </c>
      <c r="P27" s="11">
        <v>0</v>
      </c>
      <c r="Q27" s="11">
        <v>0</v>
      </c>
      <c r="R27" s="11">
        <v>16150.82</v>
      </c>
      <c r="S27" s="11">
        <v>1260</v>
      </c>
      <c r="T27" s="11">
        <v>1260</v>
      </c>
      <c r="U27" s="11">
        <v>180</v>
      </c>
      <c r="V27" s="11">
        <v>122</v>
      </c>
      <c r="W27" s="11">
        <v>525</v>
      </c>
      <c r="X27" s="11">
        <v>140.66999999999999</v>
      </c>
      <c r="Y27" s="11">
        <v>0</v>
      </c>
      <c r="Z27" s="11">
        <v>1702.67</v>
      </c>
      <c r="AA27" s="11">
        <v>14448.15</v>
      </c>
      <c r="AB27" s="11">
        <v>14448.15</v>
      </c>
    </row>
    <row r="28" spans="1:28" ht="15" customHeight="1" x14ac:dyDescent="0.25">
      <c r="A28" s="25">
        <v>27</v>
      </c>
      <c r="B28" s="11" t="s">
        <v>58</v>
      </c>
      <c r="C28" s="11" t="s">
        <v>30</v>
      </c>
      <c r="D28" s="11" t="s">
        <v>31</v>
      </c>
      <c r="E28" s="11">
        <v>23200</v>
      </c>
      <c r="F28" s="11">
        <v>27.5</v>
      </c>
      <c r="G28" s="11">
        <v>21.5</v>
      </c>
      <c r="H28" s="11">
        <v>6</v>
      </c>
      <c r="I28" s="11">
        <v>175.08</v>
      </c>
      <c r="J28" s="11">
        <v>10.33</v>
      </c>
      <c r="K28" s="11">
        <v>14810.71</v>
      </c>
      <c r="L28" s="11">
        <v>0</v>
      </c>
      <c r="M28" s="11">
        <v>7975</v>
      </c>
      <c r="N28" s="11">
        <v>0</v>
      </c>
      <c r="O28" s="11">
        <v>0</v>
      </c>
      <c r="P28" s="11">
        <v>0</v>
      </c>
      <c r="Q28" s="11">
        <v>0</v>
      </c>
      <c r="R28" s="11">
        <v>22785.71</v>
      </c>
      <c r="S28" s="11">
        <v>1777</v>
      </c>
      <c r="T28" s="11">
        <v>1777</v>
      </c>
      <c r="U28" s="11">
        <v>180</v>
      </c>
      <c r="V28" s="11">
        <v>0</v>
      </c>
      <c r="W28" s="11">
        <v>0</v>
      </c>
      <c r="X28" s="11">
        <v>817.84</v>
      </c>
      <c r="Y28" s="11">
        <v>0</v>
      </c>
      <c r="Z28" s="11">
        <v>2774.84</v>
      </c>
      <c r="AA28" s="11">
        <v>20010.87</v>
      </c>
      <c r="AB28" s="11">
        <v>20010.87</v>
      </c>
    </row>
    <row r="29" spans="1:28" ht="15" customHeight="1" x14ac:dyDescent="0.25">
      <c r="A29" s="25">
        <v>28</v>
      </c>
      <c r="B29" s="11" t="s">
        <v>59</v>
      </c>
      <c r="C29" s="11" t="s">
        <v>30</v>
      </c>
      <c r="D29" s="11" t="s">
        <v>31</v>
      </c>
      <c r="E29" s="11">
        <v>9842</v>
      </c>
      <c r="F29" s="11">
        <v>28</v>
      </c>
      <c r="G29" s="11">
        <v>20</v>
      </c>
      <c r="H29" s="11">
        <v>8</v>
      </c>
      <c r="I29" s="11">
        <v>152.16999999999999</v>
      </c>
      <c r="J29" s="11">
        <v>15.7</v>
      </c>
      <c r="K29" s="11">
        <v>6397</v>
      </c>
      <c r="L29" s="11">
        <v>0</v>
      </c>
      <c r="M29" s="11">
        <v>3445</v>
      </c>
      <c r="N29" s="11">
        <v>0</v>
      </c>
      <c r="O29" s="11">
        <v>0</v>
      </c>
      <c r="P29" s="11">
        <v>0</v>
      </c>
      <c r="Q29" s="11">
        <v>0</v>
      </c>
      <c r="R29" s="11">
        <v>9842</v>
      </c>
      <c r="S29" s="11">
        <v>768</v>
      </c>
      <c r="T29" s="11">
        <v>768</v>
      </c>
      <c r="U29" s="11">
        <v>0</v>
      </c>
      <c r="V29" s="11">
        <v>74</v>
      </c>
      <c r="W29" s="11">
        <v>320</v>
      </c>
      <c r="X29" s="11">
        <v>506.42</v>
      </c>
      <c r="Y29" s="11">
        <v>0</v>
      </c>
      <c r="Z29" s="11">
        <v>1348.42</v>
      </c>
      <c r="AA29" s="11">
        <v>8493.58</v>
      </c>
      <c r="AB29" s="11">
        <v>8493.58</v>
      </c>
    </row>
    <row r="30" spans="1:28" ht="15" customHeight="1" x14ac:dyDescent="0.25">
      <c r="A30" s="25">
        <v>29</v>
      </c>
      <c r="B30" s="11" t="s">
        <v>60</v>
      </c>
      <c r="C30" s="11" t="s">
        <v>30</v>
      </c>
      <c r="D30" s="11" t="s">
        <v>31</v>
      </c>
      <c r="E30" s="11">
        <v>40007</v>
      </c>
      <c r="F30" s="11">
        <v>28</v>
      </c>
      <c r="G30" s="11">
        <v>24</v>
      </c>
      <c r="H30" s="11">
        <v>4</v>
      </c>
      <c r="I30" s="11">
        <v>198</v>
      </c>
      <c r="J30" s="11">
        <v>0</v>
      </c>
      <c r="K30" s="11">
        <v>22613</v>
      </c>
      <c r="L30" s="11">
        <v>0</v>
      </c>
      <c r="M30" s="11">
        <v>12176</v>
      </c>
      <c r="N30" s="11">
        <v>1739</v>
      </c>
      <c r="O30" s="11">
        <v>3479</v>
      </c>
      <c r="P30" s="11">
        <v>0</v>
      </c>
      <c r="Q30" s="11">
        <v>0</v>
      </c>
      <c r="R30" s="11">
        <v>40007</v>
      </c>
      <c r="S30" s="11">
        <v>1800</v>
      </c>
      <c r="T30" s="11">
        <v>1800</v>
      </c>
      <c r="U30" s="11">
        <v>208</v>
      </c>
      <c r="V30" s="11">
        <v>0</v>
      </c>
      <c r="W30" s="11">
        <v>0</v>
      </c>
      <c r="X30" s="11">
        <v>0</v>
      </c>
      <c r="Y30" s="11">
        <v>0</v>
      </c>
      <c r="Z30" s="11">
        <v>2008</v>
      </c>
      <c r="AA30" s="11">
        <v>37999</v>
      </c>
      <c r="AB30" s="11">
        <v>37999</v>
      </c>
    </row>
    <row r="31" spans="1:28" ht="15" customHeight="1" x14ac:dyDescent="0.25">
      <c r="A31" s="25">
        <v>30</v>
      </c>
      <c r="B31" s="11" t="s">
        <v>61</v>
      </c>
      <c r="C31" s="11" t="s">
        <v>30</v>
      </c>
      <c r="D31" s="11" t="s">
        <v>31</v>
      </c>
      <c r="E31" s="11">
        <v>22263</v>
      </c>
      <c r="F31" s="11">
        <v>28</v>
      </c>
      <c r="G31" s="11">
        <v>23</v>
      </c>
      <c r="H31" s="11">
        <v>5</v>
      </c>
      <c r="I31" s="11">
        <v>192.48</v>
      </c>
      <c r="J31" s="11">
        <v>2.5499999999999998</v>
      </c>
      <c r="K31" s="11">
        <v>14471</v>
      </c>
      <c r="L31" s="11">
        <v>0</v>
      </c>
      <c r="M31" s="11">
        <v>7792</v>
      </c>
      <c r="N31" s="11">
        <v>0</v>
      </c>
      <c r="O31" s="11">
        <v>0</v>
      </c>
      <c r="P31" s="11">
        <v>0</v>
      </c>
      <c r="Q31" s="11">
        <v>0</v>
      </c>
      <c r="R31" s="11">
        <v>22263</v>
      </c>
      <c r="S31" s="11">
        <v>1737</v>
      </c>
      <c r="T31" s="11">
        <v>1737</v>
      </c>
      <c r="U31" s="11">
        <v>180</v>
      </c>
      <c r="V31" s="11">
        <v>0</v>
      </c>
      <c r="W31" s="11">
        <v>0</v>
      </c>
      <c r="X31" s="11">
        <v>108.96</v>
      </c>
      <c r="Y31" s="11">
        <v>0</v>
      </c>
      <c r="Z31" s="11">
        <v>2025.96</v>
      </c>
      <c r="AA31" s="11">
        <v>20237.04</v>
      </c>
      <c r="AB31" s="11">
        <v>20237.04</v>
      </c>
    </row>
    <row r="32" spans="1:28" ht="15" customHeight="1" x14ac:dyDescent="0.25">
      <c r="A32" s="25">
        <v>31</v>
      </c>
      <c r="B32" s="11" t="s">
        <v>62</v>
      </c>
      <c r="C32" s="11" t="s">
        <v>30</v>
      </c>
      <c r="D32" s="11" t="s">
        <v>31</v>
      </c>
      <c r="E32" s="11">
        <v>23980</v>
      </c>
      <c r="F32" s="11">
        <v>9</v>
      </c>
      <c r="G32" s="11">
        <v>7</v>
      </c>
      <c r="H32" s="11">
        <v>2</v>
      </c>
      <c r="I32" s="11">
        <v>54</v>
      </c>
      <c r="J32" s="11">
        <v>0</v>
      </c>
      <c r="K32" s="11">
        <v>5010.1099999999997</v>
      </c>
      <c r="L32" s="11">
        <v>0</v>
      </c>
      <c r="M32" s="11">
        <v>2697.75</v>
      </c>
      <c r="N32" s="11">
        <v>0</v>
      </c>
      <c r="O32" s="11">
        <v>0</v>
      </c>
      <c r="P32" s="11">
        <v>0</v>
      </c>
      <c r="Q32" s="11">
        <v>0</v>
      </c>
      <c r="R32" s="11">
        <v>7707.86</v>
      </c>
      <c r="S32" s="11">
        <v>601</v>
      </c>
      <c r="T32" s="11">
        <v>601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601</v>
      </c>
      <c r="AA32" s="11">
        <v>7106.86</v>
      </c>
      <c r="AB32" s="11">
        <v>7106.86</v>
      </c>
    </row>
    <row r="33" spans="1:28" s="35" customFormat="1" ht="15" customHeight="1" x14ac:dyDescent="0.25">
      <c r="A33" s="33">
        <v>32</v>
      </c>
      <c r="B33" s="34" t="s">
        <v>63</v>
      </c>
      <c r="C33" s="34" t="s">
        <v>30</v>
      </c>
      <c r="D33" s="34" t="s">
        <v>31</v>
      </c>
      <c r="E33" s="34">
        <v>67008</v>
      </c>
      <c r="F33" s="34">
        <v>28</v>
      </c>
      <c r="G33" s="34">
        <v>24</v>
      </c>
      <c r="H33" s="34">
        <v>4</v>
      </c>
      <c r="I33" s="34">
        <v>198</v>
      </c>
      <c r="J33" s="34">
        <v>0</v>
      </c>
      <c r="K33" s="34">
        <v>37874</v>
      </c>
      <c r="L33" s="34">
        <v>0</v>
      </c>
      <c r="M33" s="34">
        <v>20394</v>
      </c>
      <c r="N33" s="34">
        <v>2913</v>
      </c>
      <c r="O33" s="34">
        <v>5827</v>
      </c>
      <c r="P33" s="34">
        <v>0</v>
      </c>
      <c r="Q33" s="34">
        <v>0</v>
      </c>
      <c r="R33" s="34">
        <v>67008</v>
      </c>
      <c r="S33" s="34">
        <v>1800</v>
      </c>
      <c r="T33" s="34">
        <v>1800</v>
      </c>
      <c r="U33" s="34">
        <v>208</v>
      </c>
      <c r="V33" s="34">
        <v>0</v>
      </c>
      <c r="W33" s="34">
        <v>0</v>
      </c>
      <c r="X33" s="34">
        <v>0</v>
      </c>
      <c r="Y33" s="34">
        <v>0</v>
      </c>
      <c r="Z33" s="34">
        <v>2008</v>
      </c>
      <c r="AA33" s="34">
        <v>65000</v>
      </c>
      <c r="AB33" s="34">
        <v>65000</v>
      </c>
    </row>
    <row r="34" spans="1:28" ht="15" customHeight="1" x14ac:dyDescent="0.25">
      <c r="A34" s="25">
        <v>33</v>
      </c>
      <c r="B34" s="11" t="s">
        <v>64</v>
      </c>
      <c r="C34" s="11" t="s">
        <v>30</v>
      </c>
      <c r="D34" s="11" t="s">
        <v>31</v>
      </c>
      <c r="E34" s="11">
        <v>112008</v>
      </c>
      <c r="F34" s="11">
        <v>28</v>
      </c>
      <c r="G34" s="11">
        <v>24</v>
      </c>
      <c r="H34" s="11">
        <v>4</v>
      </c>
      <c r="I34" s="11">
        <v>202.5</v>
      </c>
      <c r="J34" s="11">
        <v>0</v>
      </c>
      <c r="K34" s="11">
        <v>63309</v>
      </c>
      <c r="L34" s="11">
        <v>0</v>
      </c>
      <c r="M34" s="11">
        <v>34089</v>
      </c>
      <c r="N34" s="11">
        <v>4870</v>
      </c>
      <c r="O34" s="11">
        <v>9740</v>
      </c>
      <c r="P34" s="11">
        <v>0</v>
      </c>
      <c r="Q34" s="11">
        <v>0</v>
      </c>
      <c r="R34" s="11">
        <v>112008</v>
      </c>
      <c r="S34" s="11">
        <v>1800</v>
      </c>
      <c r="T34" s="11">
        <v>1800</v>
      </c>
      <c r="U34" s="11">
        <v>208</v>
      </c>
      <c r="V34" s="11">
        <v>0</v>
      </c>
      <c r="W34" s="11">
        <v>0</v>
      </c>
      <c r="X34" s="11">
        <v>0</v>
      </c>
      <c r="Y34" s="11">
        <v>0</v>
      </c>
      <c r="Z34" s="11">
        <v>2008</v>
      </c>
      <c r="AA34" s="11">
        <v>110000</v>
      </c>
      <c r="AB34" s="11">
        <v>110000</v>
      </c>
    </row>
    <row r="35" spans="1:28" ht="15" customHeight="1" x14ac:dyDescent="0.25">
      <c r="A35" s="25">
        <v>34</v>
      </c>
      <c r="B35" s="11" t="s">
        <v>65</v>
      </c>
      <c r="C35" s="11" t="s">
        <v>30</v>
      </c>
      <c r="D35" s="11" t="s">
        <v>31</v>
      </c>
      <c r="E35" s="11">
        <v>16209</v>
      </c>
      <c r="F35" s="11">
        <v>24</v>
      </c>
      <c r="G35" s="11">
        <v>19</v>
      </c>
      <c r="H35" s="11">
        <v>5</v>
      </c>
      <c r="I35" s="11">
        <v>156.63</v>
      </c>
      <c r="J35" s="11">
        <v>4.25</v>
      </c>
      <c r="K35" s="11">
        <v>9030.86</v>
      </c>
      <c r="L35" s="11">
        <v>0</v>
      </c>
      <c r="M35" s="11">
        <v>4862.57</v>
      </c>
      <c r="N35" s="11">
        <v>0</v>
      </c>
      <c r="O35" s="11">
        <v>0</v>
      </c>
      <c r="P35" s="11">
        <v>0</v>
      </c>
      <c r="Q35" s="11">
        <v>0</v>
      </c>
      <c r="R35" s="11">
        <v>13893.43</v>
      </c>
      <c r="S35" s="11">
        <v>1084</v>
      </c>
      <c r="T35" s="11">
        <v>1084</v>
      </c>
      <c r="U35" s="11">
        <v>0</v>
      </c>
      <c r="V35" s="11">
        <v>105</v>
      </c>
      <c r="W35" s="11">
        <v>452</v>
      </c>
      <c r="X35" s="11">
        <v>137.22</v>
      </c>
      <c r="Y35" s="11">
        <v>0</v>
      </c>
      <c r="Z35" s="11">
        <v>1326.22</v>
      </c>
      <c r="AA35" s="11">
        <v>12567.21</v>
      </c>
      <c r="AB35" s="11">
        <v>12567.21</v>
      </c>
    </row>
    <row r="36" spans="1:28" ht="15" customHeight="1" x14ac:dyDescent="0.25">
      <c r="A36" s="25">
        <v>35</v>
      </c>
      <c r="B36" s="11" t="s">
        <v>66</v>
      </c>
      <c r="C36" s="11" t="s">
        <v>30</v>
      </c>
      <c r="D36" s="11" t="s">
        <v>31</v>
      </c>
      <c r="E36" s="11">
        <v>20427</v>
      </c>
      <c r="F36" s="11">
        <v>9</v>
      </c>
      <c r="G36" s="11">
        <v>7</v>
      </c>
      <c r="H36" s="11">
        <v>2</v>
      </c>
      <c r="I36" s="11">
        <v>59.6</v>
      </c>
      <c r="J36" s="11">
        <v>0</v>
      </c>
      <c r="K36" s="11">
        <v>3283.07</v>
      </c>
      <c r="L36" s="11">
        <v>0</v>
      </c>
      <c r="M36" s="11">
        <v>2297.89</v>
      </c>
      <c r="N36" s="11">
        <v>328.18</v>
      </c>
      <c r="O36" s="11">
        <v>656.68</v>
      </c>
      <c r="P36" s="11">
        <v>0</v>
      </c>
      <c r="Q36" s="11">
        <v>0</v>
      </c>
      <c r="R36" s="11">
        <v>6565.82</v>
      </c>
      <c r="S36" s="11">
        <v>512</v>
      </c>
      <c r="T36" s="11">
        <v>512</v>
      </c>
      <c r="U36" s="11">
        <v>0</v>
      </c>
      <c r="V36" s="11">
        <v>50</v>
      </c>
      <c r="W36" s="11">
        <v>214</v>
      </c>
      <c r="X36" s="11">
        <v>0</v>
      </c>
      <c r="Y36" s="11">
        <v>0</v>
      </c>
      <c r="Z36" s="11">
        <v>562</v>
      </c>
      <c r="AA36" s="11">
        <v>6003.82</v>
      </c>
      <c r="AB36" s="11">
        <v>6003.82</v>
      </c>
    </row>
    <row r="37" spans="1:28" ht="15" customHeight="1" x14ac:dyDescent="0.25">
      <c r="A37" s="25">
        <v>36</v>
      </c>
      <c r="B37" s="11" t="s">
        <v>67</v>
      </c>
      <c r="C37" s="11" t="s">
        <v>30</v>
      </c>
      <c r="D37" s="11" t="s">
        <v>31</v>
      </c>
      <c r="E37" s="11">
        <v>41008</v>
      </c>
      <c r="F37" s="11">
        <v>28</v>
      </c>
      <c r="G37" s="11">
        <v>24</v>
      </c>
      <c r="H37" s="11">
        <v>4</v>
      </c>
      <c r="I37" s="11">
        <v>201.17</v>
      </c>
      <c r="J37" s="11">
        <v>3.9</v>
      </c>
      <c r="K37" s="11">
        <v>20504</v>
      </c>
      <c r="L37" s="11">
        <v>0</v>
      </c>
      <c r="M37" s="11">
        <v>14353</v>
      </c>
      <c r="N37" s="11">
        <v>2050</v>
      </c>
      <c r="O37" s="11">
        <v>4101</v>
      </c>
      <c r="P37" s="11">
        <v>0</v>
      </c>
      <c r="Q37" s="11">
        <v>0</v>
      </c>
      <c r="R37" s="11">
        <v>41008</v>
      </c>
      <c r="S37" s="11">
        <v>1800</v>
      </c>
      <c r="T37" s="11">
        <v>1800</v>
      </c>
      <c r="U37" s="11">
        <v>208</v>
      </c>
      <c r="V37" s="11">
        <v>0</v>
      </c>
      <c r="W37" s="11">
        <v>0</v>
      </c>
      <c r="X37" s="11">
        <v>477.34</v>
      </c>
      <c r="Y37" s="11">
        <v>0</v>
      </c>
      <c r="Z37" s="11">
        <v>2485.34</v>
      </c>
      <c r="AA37" s="11">
        <v>38522.660000000003</v>
      </c>
      <c r="AB37" s="11">
        <v>38522.660000000003</v>
      </c>
    </row>
    <row r="38" spans="1:28" ht="15" customHeight="1" x14ac:dyDescent="0.25">
      <c r="A38" s="25">
        <v>37</v>
      </c>
      <c r="B38" s="11" t="s">
        <v>68</v>
      </c>
      <c r="C38" s="11" t="s">
        <v>30</v>
      </c>
      <c r="D38" s="11" t="s">
        <v>31</v>
      </c>
      <c r="E38" s="11">
        <v>21429</v>
      </c>
      <c r="F38" s="11">
        <v>28</v>
      </c>
      <c r="G38" s="11">
        <v>24</v>
      </c>
      <c r="H38" s="11">
        <v>4</v>
      </c>
      <c r="I38" s="11">
        <v>182.33</v>
      </c>
      <c r="J38" s="11">
        <v>0.53</v>
      </c>
      <c r="K38" s="11">
        <v>13929</v>
      </c>
      <c r="L38" s="11">
        <v>0</v>
      </c>
      <c r="M38" s="11">
        <v>7500</v>
      </c>
      <c r="N38" s="11">
        <v>0</v>
      </c>
      <c r="O38" s="11">
        <v>0</v>
      </c>
      <c r="P38" s="11">
        <v>0</v>
      </c>
      <c r="Q38" s="11">
        <v>0</v>
      </c>
      <c r="R38" s="11">
        <v>21429</v>
      </c>
      <c r="S38" s="11">
        <v>1671</v>
      </c>
      <c r="T38" s="11">
        <v>1671</v>
      </c>
      <c r="U38" s="11">
        <v>180</v>
      </c>
      <c r="V38" s="11">
        <v>0</v>
      </c>
      <c r="W38" s="11">
        <v>0</v>
      </c>
      <c r="X38" s="11">
        <v>0</v>
      </c>
      <c r="Y38" s="11">
        <v>0</v>
      </c>
      <c r="Z38" s="11">
        <v>1851</v>
      </c>
      <c r="AA38" s="11">
        <v>19578</v>
      </c>
      <c r="AB38" s="11">
        <v>19578</v>
      </c>
    </row>
    <row r="39" spans="1:28" ht="15" customHeight="1" x14ac:dyDescent="0.25">
      <c r="A39" s="25">
        <v>38</v>
      </c>
      <c r="B39" s="11" t="s">
        <v>69</v>
      </c>
      <c r="C39" s="11" t="s">
        <v>30</v>
      </c>
      <c r="D39" s="11" t="s">
        <v>31</v>
      </c>
      <c r="E39" s="11">
        <v>67008</v>
      </c>
      <c r="F39" s="11">
        <v>28</v>
      </c>
      <c r="G39" s="11">
        <v>24</v>
      </c>
      <c r="H39" s="11">
        <v>4</v>
      </c>
      <c r="I39" s="11">
        <v>198</v>
      </c>
      <c r="J39" s="11">
        <v>0</v>
      </c>
      <c r="K39" s="11">
        <v>37874</v>
      </c>
      <c r="L39" s="11">
        <v>0</v>
      </c>
      <c r="M39" s="11">
        <v>20394</v>
      </c>
      <c r="N39" s="11">
        <v>2913</v>
      </c>
      <c r="O39" s="11">
        <v>5827</v>
      </c>
      <c r="P39" s="11">
        <v>0</v>
      </c>
      <c r="Q39" s="11">
        <v>0</v>
      </c>
      <c r="R39" s="11">
        <v>67008</v>
      </c>
      <c r="S39" s="11">
        <v>1800</v>
      </c>
      <c r="T39" s="11">
        <v>1800</v>
      </c>
      <c r="U39" s="11">
        <v>208</v>
      </c>
      <c r="V39" s="11">
        <v>0</v>
      </c>
      <c r="W39" s="11">
        <v>0</v>
      </c>
      <c r="X39" s="11">
        <v>0</v>
      </c>
      <c r="Y39" s="11">
        <v>0</v>
      </c>
      <c r="Z39" s="11">
        <v>2008</v>
      </c>
      <c r="AA39" s="11">
        <v>65000</v>
      </c>
      <c r="AB39" s="11">
        <v>65000</v>
      </c>
    </row>
    <row r="40" spans="1:28" ht="15" customHeight="1" x14ac:dyDescent="0.25">
      <c r="A40" s="25">
        <v>39</v>
      </c>
      <c r="B40" s="11" t="s">
        <v>70</v>
      </c>
      <c r="C40" s="11" t="s">
        <v>30</v>
      </c>
      <c r="D40" s="11" t="s">
        <v>31</v>
      </c>
      <c r="E40" s="11">
        <v>37008</v>
      </c>
      <c r="F40" s="11">
        <v>28</v>
      </c>
      <c r="G40" s="11">
        <v>24</v>
      </c>
      <c r="H40" s="11">
        <v>4</v>
      </c>
      <c r="I40" s="11">
        <v>198</v>
      </c>
      <c r="J40" s="11">
        <v>0</v>
      </c>
      <c r="K40" s="11">
        <v>18504</v>
      </c>
      <c r="L40" s="11">
        <v>0</v>
      </c>
      <c r="M40" s="11">
        <v>12953</v>
      </c>
      <c r="N40" s="11">
        <v>1850</v>
      </c>
      <c r="O40" s="11">
        <v>3701</v>
      </c>
      <c r="P40" s="11">
        <v>0</v>
      </c>
      <c r="Q40" s="11">
        <v>0</v>
      </c>
      <c r="R40" s="11">
        <v>37008</v>
      </c>
      <c r="S40" s="11">
        <v>1800</v>
      </c>
      <c r="T40" s="11">
        <v>1800</v>
      </c>
      <c r="U40" s="11">
        <v>208</v>
      </c>
      <c r="V40" s="11">
        <v>0</v>
      </c>
      <c r="W40" s="11">
        <v>0</v>
      </c>
      <c r="X40" s="11">
        <v>0</v>
      </c>
      <c r="Y40" s="11">
        <v>0</v>
      </c>
      <c r="Z40" s="11">
        <v>2008</v>
      </c>
      <c r="AA40" s="11">
        <v>35000</v>
      </c>
      <c r="AB40" s="11">
        <v>35000</v>
      </c>
    </row>
    <row r="41" spans="1:28" ht="15" customHeight="1" x14ac:dyDescent="0.25">
      <c r="A41" s="25">
        <v>40</v>
      </c>
      <c r="B41" s="11" t="s">
        <v>71</v>
      </c>
      <c r="C41" s="11" t="s">
        <v>30</v>
      </c>
      <c r="D41" s="11" t="s">
        <v>31</v>
      </c>
      <c r="E41" s="11">
        <v>52009</v>
      </c>
      <c r="F41" s="11">
        <v>28</v>
      </c>
      <c r="G41" s="11">
        <v>24</v>
      </c>
      <c r="H41" s="11">
        <v>4</v>
      </c>
      <c r="I41" s="11">
        <v>198</v>
      </c>
      <c r="J41" s="11">
        <v>0</v>
      </c>
      <c r="K41" s="11">
        <v>26005</v>
      </c>
      <c r="L41" s="11">
        <v>0</v>
      </c>
      <c r="M41" s="11">
        <v>18203</v>
      </c>
      <c r="N41" s="11">
        <v>2600</v>
      </c>
      <c r="O41" s="11">
        <v>5201</v>
      </c>
      <c r="P41" s="11">
        <v>0</v>
      </c>
      <c r="Q41" s="11">
        <v>0</v>
      </c>
      <c r="R41" s="11">
        <v>52009</v>
      </c>
      <c r="S41" s="11">
        <v>1800</v>
      </c>
      <c r="T41" s="11">
        <v>1800</v>
      </c>
      <c r="U41" s="11">
        <v>208</v>
      </c>
      <c r="V41" s="11">
        <v>0</v>
      </c>
      <c r="W41" s="11">
        <v>0</v>
      </c>
      <c r="X41" s="11">
        <v>0</v>
      </c>
      <c r="Y41" s="11">
        <v>0</v>
      </c>
      <c r="Z41" s="11">
        <v>2008</v>
      </c>
      <c r="AA41" s="11">
        <v>50001</v>
      </c>
      <c r="AB41" s="11">
        <v>50001</v>
      </c>
    </row>
    <row r="42" spans="1:28" ht="15" customHeight="1" x14ac:dyDescent="0.25">
      <c r="A42" s="25">
        <v>41</v>
      </c>
      <c r="B42" s="11" t="s">
        <v>72</v>
      </c>
      <c r="C42" s="11" t="s">
        <v>30</v>
      </c>
      <c r="D42" s="11" t="s">
        <v>31</v>
      </c>
      <c r="E42" s="11">
        <v>32451</v>
      </c>
      <c r="F42" s="11">
        <v>28</v>
      </c>
      <c r="G42" s="11">
        <v>22</v>
      </c>
      <c r="H42" s="11">
        <v>6</v>
      </c>
      <c r="I42" s="11">
        <v>162.28</v>
      </c>
      <c r="J42" s="11">
        <v>16.77</v>
      </c>
      <c r="K42" s="11">
        <v>21093</v>
      </c>
      <c r="L42" s="11">
        <v>0</v>
      </c>
      <c r="M42" s="11">
        <v>11358</v>
      </c>
      <c r="N42" s="11">
        <v>0</v>
      </c>
      <c r="O42" s="11">
        <v>0</v>
      </c>
      <c r="P42" s="11">
        <v>0</v>
      </c>
      <c r="Q42" s="11">
        <v>0</v>
      </c>
      <c r="R42" s="11">
        <v>32451</v>
      </c>
      <c r="S42" s="11">
        <v>1800</v>
      </c>
      <c r="T42" s="11">
        <v>1800</v>
      </c>
      <c r="U42" s="11">
        <v>208</v>
      </c>
      <c r="V42" s="11">
        <v>0</v>
      </c>
      <c r="W42" s="11">
        <v>0</v>
      </c>
      <c r="X42" s="11">
        <v>2120.46</v>
      </c>
      <c r="Y42" s="11">
        <v>0</v>
      </c>
      <c r="Z42" s="11">
        <v>4128.46</v>
      </c>
      <c r="AA42" s="11">
        <v>28322.54</v>
      </c>
      <c r="AB42" s="11">
        <v>28322.54</v>
      </c>
    </row>
    <row r="43" spans="1:28" ht="15" customHeight="1" x14ac:dyDescent="0.25">
      <c r="A43" s="25">
        <v>42</v>
      </c>
      <c r="B43" s="11" t="s">
        <v>73</v>
      </c>
      <c r="C43" s="11" t="s">
        <v>30</v>
      </c>
      <c r="D43" s="11" t="s">
        <v>31</v>
      </c>
      <c r="E43" s="11">
        <v>15691</v>
      </c>
      <c r="F43" s="11">
        <v>28</v>
      </c>
      <c r="G43" s="11">
        <v>22.5</v>
      </c>
      <c r="H43" s="11">
        <v>5.5</v>
      </c>
      <c r="I43" s="11">
        <v>186</v>
      </c>
      <c r="J43" s="11">
        <v>4.62</v>
      </c>
      <c r="K43" s="11">
        <v>10199</v>
      </c>
      <c r="L43" s="11">
        <v>0</v>
      </c>
      <c r="M43" s="11">
        <v>5492</v>
      </c>
      <c r="N43" s="11">
        <v>0</v>
      </c>
      <c r="O43" s="11">
        <v>0</v>
      </c>
      <c r="P43" s="11">
        <v>0</v>
      </c>
      <c r="Q43" s="11">
        <v>0</v>
      </c>
      <c r="R43" s="11">
        <v>15691</v>
      </c>
      <c r="S43" s="11">
        <v>1224</v>
      </c>
      <c r="T43" s="11">
        <v>1224</v>
      </c>
      <c r="U43" s="11">
        <v>180</v>
      </c>
      <c r="V43" s="11">
        <v>118</v>
      </c>
      <c r="W43" s="11">
        <v>510</v>
      </c>
      <c r="X43" s="11">
        <v>207.54</v>
      </c>
      <c r="Y43" s="11">
        <v>0</v>
      </c>
      <c r="Z43" s="11">
        <v>1729.54</v>
      </c>
      <c r="AA43" s="11">
        <v>13961.46</v>
      </c>
      <c r="AB43" s="11">
        <v>13961.46</v>
      </c>
    </row>
    <row r="44" spans="1:28" ht="15" customHeight="1" x14ac:dyDescent="0.25">
      <c r="A44" s="25">
        <v>43</v>
      </c>
      <c r="B44" s="11" t="s">
        <v>74</v>
      </c>
      <c r="C44" s="11" t="s">
        <v>30</v>
      </c>
      <c r="D44" s="11" t="s">
        <v>31</v>
      </c>
      <c r="E44" s="11">
        <v>28200</v>
      </c>
      <c r="F44" s="11">
        <v>7</v>
      </c>
      <c r="G44" s="11">
        <v>5</v>
      </c>
      <c r="H44" s="11">
        <v>2</v>
      </c>
      <c r="I44" s="11">
        <v>39.47</v>
      </c>
      <c r="J44" s="11">
        <v>0</v>
      </c>
      <c r="K44" s="11">
        <v>4582.5</v>
      </c>
      <c r="L44" s="11">
        <v>0</v>
      </c>
      <c r="M44" s="11">
        <v>2467.5</v>
      </c>
      <c r="N44" s="11">
        <v>0</v>
      </c>
      <c r="O44" s="11">
        <v>0</v>
      </c>
      <c r="P44" s="11">
        <v>0</v>
      </c>
      <c r="Q44" s="11">
        <v>0</v>
      </c>
      <c r="R44" s="11">
        <v>7050</v>
      </c>
      <c r="S44" s="11">
        <v>550</v>
      </c>
      <c r="T44" s="11">
        <v>550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550</v>
      </c>
      <c r="AA44" s="11">
        <v>6500</v>
      </c>
      <c r="AB44" s="11">
        <v>6500</v>
      </c>
    </row>
    <row r="45" spans="1:28" ht="15" customHeight="1" x14ac:dyDescent="0.25">
      <c r="A45" s="25">
        <v>44</v>
      </c>
      <c r="B45" s="11" t="s">
        <v>75</v>
      </c>
      <c r="C45" s="11" t="s">
        <v>30</v>
      </c>
      <c r="D45" s="11" t="s">
        <v>31</v>
      </c>
      <c r="E45" s="11">
        <v>18011</v>
      </c>
      <c r="F45" s="11">
        <v>20</v>
      </c>
      <c r="G45" s="11">
        <v>17</v>
      </c>
      <c r="H45" s="11">
        <v>3</v>
      </c>
      <c r="I45" s="11">
        <v>135.80000000000001</v>
      </c>
      <c r="J45" s="11">
        <v>2.2999999999999998</v>
      </c>
      <c r="K45" s="11">
        <v>8362.14</v>
      </c>
      <c r="L45" s="11">
        <v>0</v>
      </c>
      <c r="M45" s="11">
        <v>4502.8599999999997</v>
      </c>
      <c r="N45" s="11">
        <v>0</v>
      </c>
      <c r="O45" s="11">
        <v>0</v>
      </c>
      <c r="P45" s="11">
        <v>0</v>
      </c>
      <c r="Q45" s="11">
        <v>0</v>
      </c>
      <c r="R45" s="11">
        <v>12865</v>
      </c>
      <c r="S45" s="11">
        <v>1003</v>
      </c>
      <c r="T45" s="11">
        <v>1003</v>
      </c>
      <c r="U45" s="11">
        <v>0</v>
      </c>
      <c r="V45" s="11">
        <v>97</v>
      </c>
      <c r="W45" s="11">
        <v>419</v>
      </c>
      <c r="X45" s="11">
        <v>164.39</v>
      </c>
      <c r="Y45" s="11">
        <v>0</v>
      </c>
      <c r="Z45" s="11">
        <v>1264.3900000000001</v>
      </c>
      <c r="AA45" s="11">
        <v>11600.61</v>
      </c>
      <c r="AB45" s="11">
        <v>11600.61</v>
      </c>
    </row>
    <row r="46" spans="1:28" ht="15" customHeight="1" x14ac:dyDescent="0.25">
      <c r="A46" s="25">
        <v>45</v>
      </c>
      <c r="B46" s="11" t="s">
        <v>76</v>
      </c>
      <c r="C46" s="11" t="s">
        <v>30</v>
      </c>
      <c r="D46" s="11" t="s">
        <v>31</v>
      </c>
      <c r="E46" s="11">
        <v>13507</v>
      </c>
      <c r="F46" s="11">
        <v>18</v>
      </c>
      <c r="G46" s="11">
        <v>16</v>
      </c>
      <c r="H46" s="11">
        <v>2</v>
      </c>
      <c r="I46" s="11">
        <v>130.57</v>
      </c>
      <c r="J46" s="11">
        <v>4.5199999999999996</v>
      </c>
      <c r="K46" s="11">
        <v>5644.29</v>
      </c>
      <c r="L46" s="11">
        <v>0</v>
      </c>
      <c r="M46" s="11">
        <v>3038.79</v>
      </c>
      <c r="N46" s="11">
        <v>0</v>
      </c>
      <c r="O46" s="11">
        <v>0</v>
      </c>
      <c r="P46" s="11">
        <v>0</v>
      </c>
      <c r="Q46" s="11">
        <v>0</v>
      </c>
      <c r="R46" s="11">
        <v>8683.07</v>
      </c>
      <c r="S46" s="11">
        <v>677</v>
      </c>
      <c r="T46" s="11">
        <v>677</v>
      </c>
      <c r="U46" s="11">
        <v>0</v>
      </c>
      <c r="V46" s="11">
        <v>66</v>
      </c>
      <c r="W46" s="11">
        <v>283</v>
      </c>
      <c r="X46" s="11">
        <v>207.26</v>
      </c>
      <c r="Y46" s="11">
        <v>0</v>
      </c>
      <c r="Z46" s="11">
        <v>950.26</v>
      </c>
      <c r="AA46" s="11">
        <v>7732.81</v>
      </c>
      <c r="AB46" s="11">
        <v>7732.81</v>
      </c>
    </row>
    <row r="47" spans="1:28" ht="15" customHeight="1" x14ac:dyDescent="0.25">
      <c r="A47" s="25">
        <v>46</v>
      </c>
      <c r="B47" s="11" t="s">
        <v>77</v>
      </c>
      <c r="C47" s="11" t="s">
        <v>30</v>
      </c>
      <c r="D47" s="11" t="s">
        <v>31</v>
      </c>
      <c r="E47" s="11">
        <v>54000</v>
      </c>
      <c r="F47" s="11">
        <v>14</v>
      </c>
      <c r="G47" s="11">
        <v>9.5</v>
      </c>
      <c r="H47" s="11">
        <v>4.5</v>
      </c>
      <c r="I47" s="11">
        <v>66.73</v>
      </c>
      <c r="J47" s="11">
        <v>13.55</v>
      </c>
      <c r="K47" s="11">
        <v>13500</v>
      </c>
      <c r="L47" s="11">
        <v>0</v>
      </c>
      <c r="M47" s="11">
        <v>9450</v>
      </c>
      <c r="N47" s="11">
        <v>1350</v>
      </c>
      <c r="O47" s="11">
        <v>2700</v>
      </c>
      <c r="P47" s="11">
        <v>0</v>
      </c>
      <c r="Q47" s="11">
        <v>0</v>
      </c>
      <c r="R47" s="11">
        <v>27000</v>
      </c>
      <c r="S47" s="11">
        <v>0</v>
      </c>
      <c r="T47" s="11">
        <v>0</v>
      </c>
      <c r="U47" s="11">
        <v>208</v>
      </c>
      <c r="V47" s="11">
        <v>0</v>
      </c>
      <c r="W47" s="11">
        <v>0</v>
      </c>
      <c r="X47" s="11">
        <v>1967.86</v>
      </c>
      <c r="Y47" s="11">
        <v>0</v>
      </c>
      <c r="Z47" s="11">
        <v>2175.86</v>
      </c>
      <c r="AA47" s="11">
        <v>24824.14</v>
      </c>
      <c r="AB47" s="11">
        <v>24824.14</v>
      </c>
    </row>
    <row r="48" spans="1:28" ht="15" customHeight="1" x14ac:dyDescent="0.25">
      <c r="A48" s="25">
        <v>47</v>
      </c>
      <c r="B48" s="11" t="s">
        <v>78</v>
      </c>
      <c r="C48" s="11" t="s">
        <v>30</v>
      </c>
      <c r="D48" s="11" t="s">
        <v>31</v>
      </c>
      <c r="E48" s="11">
        <v>30363</v>
      </c>
      <c r="F48" s="11">
        <v>27</v>
      </c>
      <c r="G48" s="11">
        <v>23</v>
      </c>
      <c r="H48" s="11">
        <v>4</v>
      </c>
      <c r="I48" s="11">
        <v>158.19999999999999</v>
      </c>
      <c r="J48" s="11">
        <v>18.03</v>
      </c>
      <c r="K48" s="11">
        <v>19031.14</v>
      </c>
      <c r="L48" s="11">
        <v>0</v>
      </c>
      <c r="M48" s="11">
        <v>10247.459999999999</v>
      </c>
      <c r="N48" s="11">
        <v>0</v>
      </c>
      <c r="O48" s="11">
        <v>0</v>
      </c>
      <c r="P48" s="11">
        <v>0</v>
      </c>
      <c r="Q48" s="11">
        <v>0</v>
      </c>
      <c r="R48" s="11">
        <v>29278.61</v>
      </c>
      <c r="S48" s="11">
        <v>1800</v>
      </c>
      <c r="T48" s="11">
        <v>1800</v>
      </c>
      <c r="U48" s="11">
        <v>208</v>
      </c>
      <c r="V48" s="11">
        <v>0</v>
      </c>
      <c r="W48" s="11">
        <v>0</v>
      </c>
      <c r="X48" s="11">
        <v>1576.39</v>
      </c>
      <c r="Y48" s="11">
        <v>0</v>
      </c>
      <c r="Z48" s="11">
        <v>3584.39</v>
      </c>
      <c r="AA48" s="11">
        <v>25694.22</v>
      </c>
      <c r="AB48" s="11">
        <v>25694.22</v>
      </c>
    </row>
    <row r="49" spans="1:28" ht="15" customHeight="1" x14ac:dyDescent="0.25">
      <c r="A49" s="25">
        <v>48</v>
      </c>
      <c r="B49" s="11" t="s">
        <v>79</v>
      </c>
      <c r="C49" s="11" t="s">
        <v>30</v>
      </c>
      <c r="D49" s="11" t="s">
        <v>31</v>
      </c>
      <c r="E49" s="11">
        <v>38397</v>
      </c>
      <c r="F49" s="11">
        <v>28</v>
      </c>
      <c r="G49" s="11">
        <v>24</v>
      </c>
      <c r="H49" s="11">
        <v>4</v>
      </c>
      <c r="I49" s="11">
        <v>205.57</v>
      </c>
      <c r="J49" s="11">
        <v>0</v>
      </c>
      <c r="K49" s="11">
        <v>19198</v>
      </c>
      <c r="L49" s="11">
        <v>0</v>
      </c>
      <c r="M49" s="11">
        <v>13439</v>
      </c>
      <c r="N49" s="11">
        <v>1920</v>
      </c>
      <c r="O49" s="11">
        <v>3840</v>
      </c>
      <c r="P49" s="11">
        <v>0</v>
      </c>
      <c r="Q49" s="11">
        <v>0</v>
      </c>
      <c r="R49" s="11">
        <v>38397</v>
      </c>
      <c r="S49" s="11">
        <v>1800</v>
      </c>
      <c r="T49" s="11">
        <v>1800</v>
      </c>
      <c r="U49" s="11">
        <v>208</v>
      </c>
      <c r="V49" s="11">
        <v>0</v>
      </c>
      <c r="W49" s="11">
        <v>0</v>
      </c>
      <c r="X49" s="11">
        <v>0</v>
      </c>
      <c r="Y49" s="11">
        <v>0</v>
      </c>
      <c r="Z49" s="11">
        <v>2008</v>
      </c>
      <c r="AA49" s="11">
        <v>36389</v>
      </c>
      <c r="AB49" s="11">
        <v>36389</v>
      </c>
    </row>
    <row r="50" spans="1:28" ht="15" customHeight="1" x14ac:dyDescent="0.25">
      <c r="A50" s="25">
        <v>49</v>
      </c>
      <c r="B50" s="11" t="s">
        <v>80</v>
      </c>
      <c r="C50" s="11" t="s">
        <v>30</v>
      </c>
      <c r="D50" s="11" t="s">
        <v>31</v>
      </c>
      <c r="E50" s="11">
        <v>29700</v>
      </c>
      <c r="F50" s="11">
        <v>28</v>
      </c>
      <c r="G50" s="11">
        <v>23</v>
      </c>
      <c r="H50" s="11">
        <v>5</v>
      </c>
      <c r="I50" s="11">
        <v>190.83</v>
      </c>
      <c r="J50" s="11">
        <v>1.37</v>
      </c>
      <c r="K50" s="11">
        <v>14850</v>
      </c>
      <c r="L50" s="11">
        <v>0</v>
      </c>
      <c r="M50" s="11">
        <v>10395</v>
      </c>
      <c r="N50" s="11">
        <v>1485</v>
      </c>
      <c r="O50" s="11">
        <v>2970</v>
      </c>
      <c r="P50" s="11">
        <v>0</v>
      </c>
      <c r="Q50" s="11">
        <v>0</v>
      </c>
      <c r="R50" s="11">
        <v>29700</v>
      </c>
      <c r="S50" s="11">
        <v>1800</v>
      </c>
      <c r="T50" s="11">
        <v>1800</v>
      </c>
      <c r="U50" s="11">
        <v>208</v>
      </c>
      <c r="V50" s="11">
        <v>0</v>
      </c>
      <c r="W50" s="11">
        <v>0</v>
      </c>
      <c r="X50" s="11">
        <v>0</v>
      </c>
      <c r="Y50" s="11">
        <v>0</v>
      </c>
      <c r="Z50" s="11">
        <v>2008</v>
      </c>
      <c r="AA50" s="11">
        <v>27692</v>
      </c>
      <c r="AB50" s="11">
        <v>27692</v>
      </c>
    </row>
    <row r="51" spans="1:28" ht="15" customHeight="1" x14ac:dyDescent="0.25">
      <c r="A51" s="25">
        <v>50</v>
      </c>
      <c r="B51" s="11" t="s">
        <v>81</v>
      </c>
      <c r="C51" s="11" t="s">
        <v>30</v>
      </c>
      <c r="D51" s="11" t="s">
        <v>31</v>
      </c>
      <c r="E51" s="11">
        <v>17600</v>
      </c>
      <c r="F51" s="11">
        <v>23.5</v>
      </c>
      <c r="G51" s="11">
        <v>19.5</v>
      </c>
      <c r="H51" s="11">
        <v>4</v>
      </c>
      <c r="I51" s="11">
        <v>161.52000000000001</v>
      </c>
      <c r="J51" s="11">
        <v>15.32</v>
      </c>
      <c r="K51" s="11">
        <v>9601.43</v>
      </c>
      <c r="L51" s="11">
        <v>0</v>
      </c>
      <c r="M51" s="11">
        <v>5170</v>
      </c>
      <c r="N51" s="11">
        <v>0</v>
      </c>
      <c r="O51" s="11">
        <v>0</v>
      </c>
      <c r="P51" s="11">
        <v>0</v>
      </c>
      <c r="Q51" s="11">
        <v>0</v>
      </c>
      <c r="R51" s="11">
        <v>14771.43</v>
      </c>
      <c r="S51" s="11">
        <v>1152</v>
      </c>
      <c r="T51" s="11">
        <v>1152</v>
      </c>
      <c r="U51" s="11">
        <v>0</v>
      </c>
      <c r="V51" s="11">
        <v>111</v>
      </c>
      <c r="W51" s="11">
        <v>481</v>
      </c>
      <c r="X51" s="11">
        <v>938.2</v>
      </c>
      <c r="Y51" s="11">
        <v>0</v>
      </c>
      <c r="Z51" s="11">
        <v>2201.1999999999998</v>
      </c>
      <c r="AA51" s="11">
        <v>12570.23</v>
      </c>
      <c r="AB51" s="11">
        <v>12570.23</v>
      </c>
    </row>
    <row r="52" spans="1:28" ht="15" customHeight="1" x14ac:dyDescent="0.25">
      <c r="A52" s="25">
        <v>51</v>
      </c>
      <c r="B52" s="11" t="s">
        <v>82</v>
      </c>
      <c r="C52" s="11" t="s">
        <v>30</v>
      </c>
      <c r="D52" s="11" t="s">
        <v>31</v>
      </c>
      <c r="E52" s="11">
        <v>23980</v>
      </c>
      <c r="F52" s="11">
        <v>27</v>
      </c>
      <c r="G52" s="11">
        <v>23</v>
      </c>
      <c r="H52" s="11">
        <v>4</v>
      </c>
      <c r="I52" s="11">
        <v>199.42</v>
      </c>
      <c r="J52" s="11">
        <v>0</v>
      </c>
      <c r="K52" s="11">
        <v>11561.79</v>
      </c>
      <c r="L52" s="11">
        <v>0</v>
      </c>
      <c r="M52" s="11">
        <v>8093.25</v>
      </c>
      <c r="N52" s="11">
        <v>1156.18</v>
      </c>
      <c r="O52" s="11">
        <v>2312.36</v>
      </c>
      <c r="P52" s="11">
        <v>0</v>
      </c>
      <c r="Q52" s="11">
        <v>0</v>
      </c>
      <c r="R52" s="11">
        <v>23123.57</v>
      </c>
      <c r="S52" s="11">
        <v>1800</v>
      </c>
      <c r="T52" s="11">
        <v>1800</v>
      </c>
      <c r="U52" s="11">
        <v>180</v>
      </c>
      <c r="V52" s="11">
        <v>0</v>
      </c>
      <c r="W52" s="11">
        <v>0</v>
      </c>
      <c r="X52" s="11">
        <v>0</v>
      </c>
      <c r="Y52" s="11">
        <v>0</v>
      </c>
      <c r="Z52" s="11">
        <v>1980</v>
      </c>
      <c r="AA52" s="11">
        <v>21143.57</v>
      </c>
      <c r="AB52" s="11">
        <v>21143.57</v>
      </c>
    </row>
    <row r="53" spans="1:28" ht="15" customHeight="1" x14ac:dyDescent="0.25">
      <c r="A53" s="25">
        <v>52</v>
      </c>
      <c r="B53" s="11" t="s">
        <v>83</v>
      </c>
      <c r="C53" s="11" t="s">
        <v>30</v>
      </c>
      <c r="D53" s="11" t="s">
        <v>31</v>
      </c>
      <c r="E53" s="11">
        <v>48200</v>
      </c>
      <c r="F53" s="11">
        <v>28</v>
      </c>
      <c r="G53" s="11">
        <v>22</v>
      </c>
      <c r="H53" s="11">
        <v>6</v>
      </c>
      <c r="I53" s="11">
        <v>182.98</v>
      </c>
      <c r="J53" s="11">
        <v>0</v>
      </c>
      <c r="K53" s="11">
        <v>31330</v>
      </c>
      <c r="L53" s="11">
        <v>0</v>
      </c>
      <c r="M53" s="11">
        <v>16870</v>
      </c>
      <c r="N53" s="11">
        <v>0</v>
      </c>
      <c r="O53" s="11">
        <v>0</v>
      </c>
      <c r="P53" s="11">
        <v>0</v>
      </c>
      <c r="Q53" s="11">
        <v>0</v>
      </c>
      <c r="R53" s="11">
        <v>48200</v>
      </c>
      <c r="S53" s="11">
        <v>1800</v>
      </c>
      <c r="T53" s="11">
        <v>1800</v>
      </c>
      <c r="U53" s="11">
        <v>208</v>
      </c>
      <c r="V53" s="11">
        <v>0</v>
      </c>
      <c r="W53" s="11">
        <v>0</v>
      </c>
      <c r="X53" s="11">
        <v>0</v>
      </c>
      <c r="Y53" s="11">
        <v>0</v>
      </c>
      <c r="Z53" s="11">
        <v>2008</v>
      </c>
      <c r="AA53" s="11">
        <v>46192</v>
      </c>
      <c r="AB53" s="11">
        <v>46192</v>
      </c>
    </row>
    <row r="54" spans="1:28" ht="15" customHeight="1" x14ac:dyDescent="0.25">
      <c r="A54" s="25">
        <v>53</v>
      </c>
      <c r="B54" s="11" t="s">
        <v>84</v>
      </c>
      <c r="C54" s="11" t="s">
        <v>30</v>
      </c>
      <c r="D54" s="11" t="s">
        <v>31</v>
      </c>
      <c r="E54" s="11">
        <v>55000</v>
      </c>
      <c r="F54" s="11">
        <v>27</v>
      </c>
      <c r="G54" s="11">
        <v>23</v>
      </c>
      <c r="H54" s="11">
        <v>4</v>
      </c>
      <c r="I54" s="11">
        <v>191.02</v>
      </c>
      <c r="J54" s="11">
        <v>0</v>
      </c>
      <c r="K54" s="11">
        <v>53035.71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53035.71</v>
      </c>
      <c r="S54" s="11">
        <v>0</v>
      </c>
      <c r="T54" s="11">
        <v>0</v>
      </c>
      <c r="U54" s="11">
        <v>208</v>
      </c>
      <c r="V54" s="11">
        <v>0</v>
      </c>
      <c r="W54" s="11">
        <v>0</v>
      </c>
      <c r="X54" s="11">
        <v>0</v>
      </c>
      <c r="Y54" s="11">
        <v>0</v>
      </c>
      <c r="Z54" s="11">
        <v>208</v>
      </c>
      <c r="AA54" s="11">
        <v>52827.71</v>
      </c>
      <c r="AB54" s="11">
        <v>52827.71</v>
      </c>
    </row>
    <row r="55" spans="1:28" ht="15" customHeight="1" x14ac:dyDescent="0.25">
      <c r="A55" s="25">
        <v>54</v>
      </c>
      <c r="B55" s="11" t="s">
        <v>85</v>
      </c>
      <c r="C55" s="11" t="s">
        <v>30</v>
      </c>
      <c r="D55" s="11" t="s">
        <v>31</v>
      </c>
      <c r="E55" s="11">
        <v>22449</v>
      </c>
      <c r="F55" s="11">
        <v>28</v>
      </c>
      <c r="G55" s="11">
        <v>24</v>
      </c>
      <c r="H55" s="11">
        <v>4</v>
      </c>
      <c r="I55" s="11">
        <v>198.2</v>
      </c>
      <c r="J55" s="11">
        <v>1.82</v>
      </c>
      <c r="K55" s="11">
        <v>14592</v>
      </c>
      <c r="L55" s="11">
        <v>0</v>
      </c>
      <c r="M55" s="11">
        <v>7857</v>
      </c>
      <c r="N55" s="11">
        <v>0</v>
      </c>
      <c r="O55" s="11">
        <v>0</v>
      </c>
      <c r="P55" s="11">
        <v>0</v>
      </c>
      <c r="Q55" s="11">
        <v>0</v>
      </c>
      <c r="R55" s="11">
        <v>22449</v>
      </c>
      <c r="S55" s="11">
        <v>1751</v>
      </c>
      <c r="T55" s="11">
        <v>1751</v>
      </c>
      <c r="U55" s="11">
        <v>180</v>
      </c>
      <c r="V55" s="11">
        <v>0</v>
      </c>
      <c r="W55" s="11">
        <v>0</v>
      </c>
      <c r="X55" s="11">
        <v>0</v>
      </c>
      <c r="Y55" s="11">
        <v>0</v>
      </c>
      <c r="Z55" s="11">
        <v>1931</v>
      </c>
      <c r="AA55" s="11">
        <v>20518</v>
      </c>
      <c r="AB55" s="11">
        <v>20518</v>
      </c>
    </row>
    <row r="56" spans="1:28" ht="15" customHeight="1" x14ac:dyDescent="0.25">
      <c r="A56" s="25">
        <v>55</v>
      </c>
      <c r="B56" s="11" t="s">
        <v>86</v>
      </c>
      <c r="C56" s="11" t="s">
        <v>30</v>
      </c>
      <c r="D56" s="11" t="s">
        <v>31</v>
      </c>
      <c r="E56" s="11">
        <v>15000</v>
      </c>
      <c r="F56" s="11">
        <v>27</v>
      </c>
      <c r="G56" s="11">
        <v>23</v>
      </c>
      <c r="H56" s="11">
        <v>4</v>
      </c>
      <c r="I56" s="11">
        <v>220.88</v>
      </c>
      <c r="J56" s="11">
        <v>0</v>
      </c>
      <c r="K56" s="11">
        <v>7232.14</v>
      </c>
      <c r="L56" s="11">
        <v>1928.57</v>
      </c>
      <c r="M56" s="11">
        <v>2892.86</v>
      </c>
      <c r="N56" s="11">
        <v>867.86</v>
      </c>
      <c r="O56" s="11">
        <v>1542.86</v>
      </c>
      <c r="P56" s="11">
        <v>0</v>
      </c>
      <c r="Q56" s="11">
        <v>0</v>
      </c>
      <c r="R56" s="11">
        <v>14464.29</v>
      </c>
      <c r="S56" s="11">
        <v>0</v>
      </c>
      <c r="T56" s="11">
        <v>0</v>
      </c>
      <c r="U56" s="11">
        <v>0</v>
      </c>
      <c r="V56" s="11">
        <v>109</v>
      </c>
      <c r="W56" s="11">
        <v>471</v>
      </c>
      <c r="X56" s="11">
        <v>0</v>
      </c>
      <c r="Y56" s="11">
        <v>0</v>
      </c>
      <c r="Z56" s="11">
        <v>109</v>
      </c>
      <c r="AA56" s="11">
        <v>14355.29</v>
      </c>
      <c r="AB56" s="11">
        <v>14355.29</v>
      </c>
    </row>
    <row r="57" spans="1:28" ht="15" customHeight="1" x14ac:dyDescent="0.25">
      <c r="A57" s="25">
        <v>56</v>
      </c>
      <c r="B57" s="11" t="s">
        <v>87</v>
      </c>
      <c r="C57" s="11" t="s">
        <v>30</v>
      </c>
      <c r="D57" s="11" t="s">
        <v>31</v>
      </c>
      <c r="E57" s="11">
        <v>15308</v>
      </c>
      <c r="F57" s="11">
        <v>28</v>
      </c>
      <c r="G57" s="11">
        <v>24</v>
      </c>
      <c r="H57" s="11">
        <v>4</v>
      </c>
      <c r="I57" s="11">
        <v>201.08</v>
      </c>
      <c r="J57" s="11">
        <v>2.92</v>
      </c>
      <c r="K57" s="11">
        <v>7654</v>
      </c>
      <c r="L57" s="11">
        <v>0</v>
      </c>
      <c r="M57" s="11">
        <v>5358</v>
      </c>
      <c r="N57" s="11">
        <v>765</v>
      </c>
      <c r="O57" s="11">
        <v>1531</v>
      </c>
      <c r="P57" s="11">
        <v>0</v>
      </c>
      <c r="Q57" s="11">
        <v>0</v>
      </c>
      <c r="R57" s="11">
        <v>15308</v>
      </c>
      <c r="S57" s="11">
        <v>1194</v>
      </c>
      <c r="T57" s="11">
        <v>1194</v>
      </c>
      <c r="U57" s="11">
        <v>180</v>
      </c>
      <c r="V57" s="11">
        <v>115</v>
      </c>
      <c r="W57" s="11">
        <v>498</v>
      </c>
      <c r="X57" s="11">
        <v>123.51</v>
      </c>
      <c r="Y57" s="11">
        <v>0</v>
      </c>
      <c r="Z57" s="11">
        <v>1612.51</v>
      </c>
      <c r="AA57" s="11">
        <v>13695.49</v>
      </c>
      <c r="AB57" s="11">
        <v>13695.49</v>
      </c>
    </row>
    <row r="58" spans="1:28" ht="15" customHeight="1" x14ac:dyDescent="0.25">
      <c r="A58" s="25">
        <v>57</v>
      </c>
      <c r="B58" s="11" t="s">
        <v>88</v>
      </c>
      <c r="C58" s="11" t="s">
        <v>30</v>
      </c>
      <c r="D58" s="11" t="s">
        <v>31</v>
      </c>
      <c r="E58" s="11">
        <v>12500</v>
      </c>
      <c r="F58" s="11">
        <v>15</v>
      </c>
      <c r="G58" s="11">
        <v>12</v>
      </c>
      <c r="H58" s="11">
        <v>3</v>
      </c>
      <c r="I58" s="11">
        <v>97.17</v>
      </c>
      <c r="J58" s="11">
        <v>1.3</v>
      </c>
      <c r="K58" s="11">
        <v>0</v>
      </c>
      <c r="L58" s="11">
        <v>6696.43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6696.43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6696.43</v>
      </c>
      <c r="AB58" s="11">
        <v>6696.43</v>
      </c>
    </row>
    <row r="59" spans="1:28" ht="15" customHeight="1" x14ac:dyDescent="0.25">
      <c r="A59" s="25">
        <v>58</v>
      </c>
      <c r="B59" s="11" t="s">
        <v>89</v>
      </c>
      <c r="C59" s="11" t="s">
        <v>30</v>
      </c>
      <c r="D59" s="11" t="s">
        <v>31</v>
      </c>
      <c r="E59" s="11">
        <v>66117</v>
      </c>
      <c r="F59" s="11">
        <v>28</v>
      </c>
      <c r="G59" s="11">
        <v>24</v>
      </c>
      <c r="H59" s="11">
        <v>4</v>
      </c>
      <c r="I59" s="11">
        <v>197.78</v>
      </c>
      <c r="J59" s="11">
        <v>0.32</v>
      </c>
      <c r="K59" s="11">
        <v>37370</v>
      </c>
      <c r="L59" s="11">
        <v>0</v>
      </c>
      <c r="M59" s="11">
        <v>20123</v>
      </c>
      <c r="N59" s="11">
        <v>2875</v>
      </c>
      <c r="O59" s="11">
        <v>5749</v>
      </c>
      <c r="P59" s="11">
        <v>0</v>
      </c>
      <c r="Q59" s="11">
        <v>0</v>
      </c>
      <c r="R59" s="11">
        <v>66117</v>
      </c>
      <c r="S59" s="11">
        <v>1800</v>
      </c>
      <c r="T59" s="11">
        <v>1800</v>
      </c>
      <c r="U59" s="11">
        <v>208</v>
      </c>
      <c r="V59" s="11">
        <v>0</v>
      </c>
      <c r="W59" s="11">
        <v>0</v>
      </c>
      <c r="X59" s="11">
        <v>0</v>
      </c>
      <c r="Y59" s="11">
        <v>0</v>
      </c>
      <c r="Z59" s="11">
        <v>2008</v>
      </c>
      <c r="AA59" s="11">
        <v>64109</v>
      </c>
      <c r="AB59" s="11">
        <v>64109</v>
      </c>
    </row>
    <row r="60" spans="1:28" ht="15" customHeight="1" x14ac:dyDescent="0.25">
      <c r="A60" s="25">
        <v>59</v>
      </c>
      <c r="B60" s="11" t="s">
        <v>90</v>
      </c>
      <c r="C60" s="11" t="s">
        <v>30</v>
      </c>
      <c r="D60" s="11" t="s">
        <v>31</v>
      </c>
      <c r="E60" s="11">
        <v>22429</v>
      </c>
      <c r="F60" s="11">
        <v>10</v>
      </c>
      <c r="G60" s="11">
        <v>8</v>
      </c>
      <c r="H60" s="11">
        <v>2</v>
      </c>
      <c r="I60" s="11">
        <v>67.33</v>
      </c>
      <c r="J60" s="11">
        <v>0</v>
      </c>
      <c r="K60" s="11">
        <v>5206.79</v>
      </c>
      <c r="L60" s="11">
        <v>0</v>
      </c>
      <c r="M60" s="11">
        <v>2803.57</v>
      </c>
      <c r="N60" s="11">
        <v>0</v>
      </c>
      <c r="O60" s="11">
        <v>0</v>
      </c>
      <c r="P60" s="11">
        <v>0</v>
      </c>
      <c r="Q60" s="11">
        <v>0</v>
      </c>
      <c r="R60" s="11">
        <v>8010.36</v>
      </c>
      <c r="S60" s="11">
        <v>625</v>
      </c>
      <c r="T60" s="11">
        <v>625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625</v>
      </c>
      <c r="AA60" s="11">
        <v>7385.36</v>
      </c>
      <c r="AB60" s="11">
        <v>7385.36</v>
      </c>
    </row>
    <row r="61" spans="1:28" ht="15" customHeight="1" x14ac:dyDescent="0.25">
      <c r="A61" s="25">
        <v>60</v>
      </c>
      <c r="B61" s="11" t="s">
        <v>91</v>
      </c>
      <c r="C61" s="11" t="s">
        <v>30</v>
      </c>
      <c r="D61" s="11" t="s">
        <v>31</v>
      </c>
      <c r="E61" s="11">
        <v>43200</v>
      </c>
      <c r="F61" s="11">
        <v>27</v>
      </c>
      <c r="G61" s="11">
        <v>22.5</v>
      </c>
      <c r="H61" s="11">
        <v>4.5</v>
      </c>
      <c r="I61" s="11">
        <v>153.85</v>
      </c>
      <c r="J61" s="11">
        <v>19.03</v>
      </c>
      <c r="K61" s="11">
        <v>27077.14</v>
      </c>
      <c r="L61" s="11">
        <v>0</v>
      </c>
      <c r="M61" s="11">
        <v>14580</v>
      </c>
      <c r="N61" s="11">
        <v>0</v>
      </c>
      <c r="O61" s="11">
        <v>0</v>
      </c>
      <c r="P61" s="11">
        <v>0</v>
      </c>
      <c r="Q61" s="11">
        <v>0</v>
      </c>
      <c r="R61" s="11">
        <v>41657.14</v>
      </c>
      <c r="S61" s="11">
        <v>1800</v>
      </c>
      <c r="T61" s="11">
        <v>1800</v>
      </c>
      <c r="U61" s="11">
        <v>208</v>
      </c>
      <c r="V61" s="11">
        <v>0</v>
      </c>
      <c r="W61" s="11">
        <v>0</v>
      </c>
      <c r="X61" s="11">
        <v>2634.3</v>
      </c>
      <c r="Y61" s="11">
        <v>0</v>
      </c>
      <c r="Z61" s="11">
        <v>4642.3</v>
      </c>
      <c r="AA61" s="11">
        <v>37014.85</v>
      </c>
      <c r="AB61" s="11">
        <v>37014.85</v>
      </c>
    </row>
    <row r="62" spans="1:28" ht="15" customHeight="1" x14ac:dyDescent="0.25">
      <c r="A62" s="25">
        <v>61</v>
      </c>
      <c r="B62" s="11" t="s">
        <v>92</v>
      </c>
      <c r="C62" s="11" t="s">
        <v>30</v>
      </c>
      <c r="D62" s="11" t="s">
        <v>31</v>
      </c>
      <c r="E62" s="11">
        <v>37897</v>
      </c>
      <c r="F62" s="11">
        <v>28</v>
      </c>
      <c r="G62" s="11">
        <v>23</v>
      </c>
      <c r="H62" s="11">
        <v>5</v>
      </c>
      <c r="I62" s="11">
        <v>195.6</v>
      </c>
      <c r="J62" s="11">
        <v>1.6</v>
      </c>
      <c r="K62" s="11">
        <v>24633</v>
      </c>
      <c r="L62" s="11">
        <v>0</v>
      </c>
      <c r="M62" s="11">
        <v>13264</v>
      </c>
      <c r="N62" s="11">
        <v>0</v>
      </c>
      <c r="O62" s="11">
        <v>0</v>
      </c>
      <c r="P62" s="11">
        <v>0</v>
      </c>
      <c r="Q62" s="11">
        <v>0</v>
      </c>
      <c r="R62" s="11">
        <v>37897</v>
      </c>
      <c r="S62" s="11">
        <v>1800</v>
      </c>
      <c r="T62" s="11">
        <v>1800</v>
      </c>
      <c r="U62" s="11">
        <v>208</v>
      </c>
      <c r="V62" s="11">
        <v>0</v>
      </c>
      <c r="W62" s="11">
        <v>0</v>
      </c>
      <c r="X62" s="11">
        <v>0</v>
      </c>
      <c r="Y62" s="11">
        <v>0</v>
      </c>
      <c r="Z62" s="11">
        <v>2008</v>
      </c>
      <c r="AA62" s="11">
        <v>35889</v>
      </c>
      <c r="AB62" s="11">
        <v>35889</v>
      </c>
    </row>
    <row r="63" spans="1:28" ht="15" customHeight="1" x14ac:dyDescent="0.25">
      <c r="A63" s="25">
        <v>62</v>
      </c>
      <c r="B63" s="11" t="s">
        <v>93</v>
      </c>
      <c r="C63" s="11" t="s">
        <v>30</v>
      </c>
      <c r="D63" s="11" t="s">
        <v>31</v>
      </c>
      <c r="E63" s="11">
        <v>16600</v>
      </c>
      <c r="F63" s="11">
        <v>28</v>
      </c>
      <c r="G63" s="11">
        <v>22</v>
      </c>
      <c r="H63" s="11">
        <v>6</v>
      </c>
      <c r="I63" s="11">
        <v>181.28</v>
      </c>
      <c r="J63" s="11">
        <v>1.93</v>
      </c>
      <c r="K63" s="11">
        <v>10790</v>
      </c>
      <c r="L63" s="11">
        <v>0</v>
      </c>
      <c r="M63" s="11">
        <v>5810</v>
      </c>
      <c r="N63" s="11">
        <v>0</v>
      </c>
      <c r="O63" s="11">
        <v>0</v>
      </c>
      <c r="P63" s="11">
        <v>0</v>
      </c>
      <c r="Q63" s="11">
        <v>0</v>
      </c>
      <c r="R63" s="11">
        <v>16600</v>
      </c>
      <c r="S63" s="11">
        <v>1295</v>
      </c>
      <c r="T63" s="11">
        <v>1295</v>
      </c>
      <c r="U63" s="11">
        <v>180</v>
      </c>
      <c r="V63" s="11">
        <v>125</v>
      </c>
      <c r="W63" s="11">
        <v>540</v>
      </c>
      <c r="X63" s="11">
        <v>0</v>
      </c>
      <c r="Y63" s="11">
        <v>0</v>
      </c>
      <c r="Z63" s="11">
        <v>1600</v>
      </c>
      <c r="AA63" s="11">
        <v>15000</v>
      </c>
      <c r="AB63" s="11">
        <v>15000</v>
      </c>
    </row>
    <row r="64" spans="1:28" ht="15" customHeight="1" x14ac:dyDescent="0.25"/>
    <row r="65" spans="1:29" s="14" customFormat="1" ht="15" customHeight="1" x14ac:dyDescent="0.25">
      <c r="A65" s="27"/>
      <c r="B65" s="12" t="s">
        <v>17</v>
      </c>
      <c r="C65" s="12"/>
      <c r="D65" s="12"/>
      <c r="E65" s="12">
        <f t="shared" ref="E65:AB65" si="0">SUM(E2:E64)</f>
        <v>2191942</v>
      </c>
      <c r="F65" s="12">
        <f t="shared" si="0"/>
        <v>1567</v>
      </c>
      <c r="G65" s="12">
        <f t="shared" si="0"/>
        <v>1297.5</v>
      </c>
      <c r="H65" s="12">
        <f t="shared" si="0"/>
        <v>269.5</v>
      </c>
      <c r="I65" s="12">
        <f t="shared" si="0"/>
        <v>10516.160000000002</v>
      </c>
      <c r="J65" s="12">
        <f t="shared" si="0"/>
        <v>231.24</v>
      </c>
      <c r="K65" s="12">
        <f t="shared" si="0"/>
        <v>1166086.3999999999</v>
      </c>
      <c r="L65" s="12">
        <f t="shared" si="0"/>
        <v>8625</v>
      </c>
      <c r="M65" s="12">
        <f t="shared" si="0"/>
        <v>662909.77999999991</v>
      </c>
      <c r="N65" s="12">
        <f t="shared" si="0"/>
        <v>67111</v>
      </c>
      <c r="O65" s="12">
        <f t="shared" si="0"/>
        <v>129235.47</v>
      </c>
      <c r="P65" s="12">
        <f t="shared" si="0"/>
        <v>0</v>
      </c>
      <c r="Q65" s="12">
        <f t="shared" si="0"/>
        <v>0</v>
      </c>
      <c r="R65" s="12">
        <f t="shared" si="0"/>
        <v>2033967.6300000001</v>
      </c>
      <c r="S65" s="12">
        <f t="shared" si="0"/>
        <v>80875</v>
      </c>
      <c r="T65" s="12">
        <f t="shared" si="0"/>
        <v>80875</v>
      </c>
      <c r="U65" s="12">
        <f t="shared" si="0"/>
        <v>9412</v>
      </c>
      <c r="V65" s="12">
        <f t="shared" si="0"/>
        <v>1521</v>
      </c>
      <c r="W65" s="12">
        <f t="shared" si="0"/>
        <v>6566</v>
      </c>
      <c r="X65" s="12">
        <f t="shared" si="0"/>
        <v>21179.3</v>
      </c>
      <c r="Y65" s="12">
        <f t="shared" si="0"/>
        <v>0</v>
      </c>
      <c r="Z65" s="12">
        <f t="shared" si="0"/>
        <v>112987.29999999999</v>
      </c>
      <c r="AA65" s="12">
        <f t="shared" si="0"/>
        <v>1920980.34</v>
      </c>
      <c r="AB65" s="12">
        <f t="shared" si="0"/>
        <v>1920980.34</v>
      </c>
      <c r="AC65" s="13" t="s">
        <v>18</v>
      </c>
    </row>
    <row r="66" spans="1:29" ht="15.75" x14ac:dyDescent="0.25">
      <c r="A66" s="28">
        <v>63</v>
      </c>
      <c r="B66" s="1" t="s">
        <v>94</v>
      </c>
      <c r="C66" s="3" t="s">
        <v>30</v>
      </c>
      <c r="D66" s="3" t="s">
        <v>31</v>
      </c>
      <c r="E66" s="3">
        <v>32008</v>
      </c>
      <c r="F66" s="8">
        <v>28</v>
      </c>
      <c r="G66" s="8"/>
      <c r="H66" s="8"/>
      <c r="I66" s="8"/>
      <c r="J66" s="8"/>
      <c r="K66" s="6">
        <f>16004/28*F66</f>
        <v>16004</v>
      </c>
      <c r="L66" s="8"/>
      <c r="M66" s="6">
        <f>11203/28*F66</f>
        <v>11203</v>
      </c>
      <c r="N66" s="6">
        <f>1600/28*F66</f>
        <v>1600</v>
      </c>
      <c r="O66" s="6">
        <f>3201/28*F66</f>
        <v>3201</v>
      </c>
      <c r="P66" s="8"/>
      <c r="Q66" s="8"/>
      <c r="R66" s="6">
        <f>SUM(K66:O66)</f>
        <v>32008</v>
      </c>
      <c r="S66" s="6">
        <v>1800</v>
      </c>
      <c r="T66" s="6">
        <v>1800</v>
      </c>
      <c r="U66" s="8">
        <v>208</v>
      </c>
      <c r="V66" s="8"/>
      <c r="W66" s="8"/>
      <c r="X66" s="8"/>
      <c r="Y66" s="8"/>
      <c r="Z66" s="6">
        <f>X66+V66+U66+S66</f>
        <v>2008</v>
      </c>
      <c r="AA66" s="6">
        <f>R66-Z66</f>
        <v>30000</v>
      </c>
      <c r="AB66" s="6">
        <f>AA66</f>
        <v>30000</v>
      </c>
    </row>
    <row r="67" spans="1:29" ht="15.75" x14ac:dyDescent="0.25">
      <c r="A67" s="28">
        <v>64</v>
      </c>
      <c r="B67" s="1" t="s">
        <v>95</v>
      </c>
      <c r="C67" s="3" t="s">
        <v>30</v>
      </c>
      <c r="D67" s="3" t="s">
        <v>31</v>
      </c>
      <c r="E67" s="3">
        <v>300000</v>
      </c>
      <c r="F67" s="8">
        <v>28</v>
      </c>
      <c r="G67" s="8"/>
      <c r="H67" s="8"/>
      <c r="I67" s="8"/>
      <c r="J67" s="8"/>
      <c r="K67" s="6">
        <f>300000/28*F67</f>
        <v>300000</v>
      </c>
      <c r="L67" s="8"/>
      <c r="M67" s="6"/>
      <c r="N67" s="6"/>
      <c r="O67" s="6"/>
      <c r="P67" s="8"/>
      <c r="Q67" s="8"/>
      <c r="R67" s="6">
        <f t="shared" ref="R67:R83" si="1">SUM(K67:O67)</f>
        <v>300000</v>
      </c>
      <c r="S67" s="6">
        <v>1800</v>
      </c>
      <c r="T67" s="6">
        <v>1800</v>
      </c>
      <c r="U67" s="8">
        <v>208</v>
      </c>
      <c r="V67" s="8"/>
      <c r="W67" s="8"/>
      <c r="X67" s="8"/>
      <c r="Y67" s="8"/>
      <c r="Z67" s="6">
        <f t="shared" ref="Z67:Z83" si="2">X67+V67+U67+S67</f>
        <v>2008</v>
      </c>
      <c r="AA67" s="6">
        <f t="shared" ref="AA67:AA83" si="3">R67-Z67</f>
        <v>297992</v>
      </c>
      <c r="AB67" s="6">
        <f t="shared" ref="AB67:AB83" si="4">AA67</f>
        <v>297992</v>
      </c>
    </row>
    <row r="68" spans="1:29" x14ac:dyDescent="0.25">
      <c r="A68" s="28">
        <v>65</v>
      </c>
      <c r="B68" s="2" t="s">
        <v>96</v>
      </c>
      <c r="C68" s="3" t="s">
        <v>30</v>
      </c>
      <c r="D68" s="3" t="s">
        <v>31</v>
      </c>
      <c r="E68" s="3">
        <v>81534</v>
      </c>
      <c r="F68" s="8">
        <v>28</v>
      </c>
      <c r="G68" s="8"/>
      <c r="H68" s="8"/>
      <c r="I68" s="8"/>
      <c r="J68" s="8"/>
      <c r="K68" s="6">
        <f>40767/28*F68</f>
        <v>40767</v>
      </c>
      <c r="L68" s="8"/>
      <c r="M68" s="6">
        <f>28537/28*F68</f>
        <v>28537</v>
      </c>
      <c r="N68" s="6">
        <f>4077/28*F68</f>
        <v>4077</v>
      </c>
      <c r="O68" s="6">
        <f>8153/28*F68</f>
        <v>8153</v>
      </c>
      <c r="P68" s="8"/>
      <c r="Q68" s="8"/>
      <c r="R68" s="6">
        <f t="shared" si="1"/>
        <v>81534</v>
      </c>
      <c r="S68" s="6">
        <v>1800</v>
      </c>
      <c r="T68" s="6">
        <v>1800</v>
      </c>
      <c r="U68" s="8">
        <v>208</v>
      </c>
      <c r="V68" s="8"/>
      <c r="W68" s="8"/>
      <c r="X68" s="8"/>
      <c r="Y68" s="8"/>
      <c r="Z68" s="6">
        <f t="shared" si="2"/>
        <v>2008</v>
      </c>
      <c r="AA68" s="6">
        <f t="shared" si="3"/>
        <v>79526</v>
      </c>
      <c r="AB68" s="6">
        <f t="shared" si="4"/>
        <v>79526</v>
      </c>
    </row>
    <row r="69" spans="1:29" x14ac:dyDescent="0.25">
      <c r="A69" s="28">
        <v>66</v>
      </c>
      <c r="B69" s="5" t="s">
        <v>97</v>
      </c>
      <c r="C69" s="3" t="s">
        <v>30</v>
      </c>
      <c r="D69" s="3" t="s">
        <v>31</v>
      </c>
      <c r="E69" s="4">
        <v>67008</v>
      </c>
      <c r="F69" s="8">
        <v>28</v>
      </c>
      <c r="G69" s="8"/>
      <c r="H69" s="8"/>
      <c r="I69" s="8"/>
      <c r="J69" s="8"/>
      <c r="K69" s="6">
        <f>33504/28*F69</f>
        <v>33504</v>
      </c>
      <c r="L69" s="8"/>
      <c r="M69" s="6">
        <f>23453/28*F69</f>
        <v>23453</v>
      </c>
      <c r="N69" s="6">
        <f>3350/28*F69</f>
        <v>3350</v>
      </c>
      <c r="O69" s="6">
        <f>6701/28*F69</f>
        <v>6701</v>
      </c>
      <c r="P69" s="8"/>
      <c r="Q69" s="8"/>
      <c r="R69" s="6">
        <f t="shared" si="1"/>
        <v>67008</v>
      </c>
      <c r="S69" s="6">
        <v>1800</v>
      </c>
      <c r="T69" s="6">
        <v>1800</v>
      </c>
      <c r="U69" s="8">
        <v>208</v>
      </c>
      <c r="V69" s="8"/>
      <c r="W69" s="8"/>
      <c r="X69" s="8"/>
      <c r="Y69" s="8"/>
      <c r="Z69" s="6">
        <f t="shared" si="2"/>
        <v>2008</v>
      </c>
      <c r="AA69" s="6">
        <f t="shared" si="3"/>
        <v>65000</v>
      </c>
      <c r="AB69" s="6">
        <f t="shared" si="4"/>
        <v>65000</v>
      </c>
    </row>
    <row r="70" spans="1:29" x14ac:dyDescent="0.25">
      <c r="A70" s="28">
        <v>67</v>
      </c>
      <c r="B70" s="5" t="s">
        <v>98</v>
      </c>
      <c r="C70" s="3" t="s">
        <v>30</v>
      </c>
      <c r="D70" s="3" t="s">
        <v>31</v>
      </c>
      <c r="E70" s="4">
        <v>7000</v>
      </c>
      <c r="F70" s="8">
        <v>27</v>
      </c>
      <c r="G70" s="8"/>
      <c r="H70" s="8"/>
      <c r="I70" s="8"/>
      <c r="J70" s="8"/>
      <c r="K70" s="6">
        <f>7000/28*F70</f>
        <v>6750</v>
      </c>
      <c r="L70" s="8"/>
      <c r="M70" s="6"/>
      <c r="N70" s="6"/>
      <c r="O70" s="6"/>
      <c r="P70" s="8"/>
      <c r="Q70" s="8"/>
      <c r="R70" s="6">
        <f t="shared" si="1"/>
        <v>6750</v>
      </c>
      <c r="S70" s="6"/>
      <c r="T70" s="6"/>
      <c r="U70" s="8"/>
      <c r="V70" s="8"/>
      <c r="W70" s="8"/>
      <c r="X70" s="8"/>
      <c r="Y70" s="8"/>
      <c r="Z70" s="6">
        <f t="shared" si="2"/>
        <v>0</v>
      </c>
      <c r="AA70" s="6">
        <f t="shared" si="3"/>
        <v>6750</v>
      </c>
      <c r="AB70" s="6">
        <f t="shared" si="4"/>
        <v>6750</v>
      </c>
    </row>
    <row r="71" spans="1:29" x14ac:dyDescent="0.25">
      <c r="A71" s="28">
        <v>68</v>
      </c>
      <c r="B71" s="5" t="s">
        <v>99</v>
      </c>
      <c r="C71" s="3" t="s">
        <v>30</v>
      </c>
      <c r="D71" s="3" t="s">
        <v>31</v>
      </c>
      <c r="E71" s="5">
        <v>48200</v>
      </c>
      <c r="F71" s="8">
        <v>23</v>
      </c>
      <c r="G71" s="8"/>
      <c r="H71" s="8"/>
      <c r="I71" s="8"/>
      <c r="J71" s="8"/>
      <c r="K71" s="6">
        <f>27243/28*F71</f>
        <v>22378.178571428569</v>
      </c>
      <c r="L71" s="8"/>
      <c r="M71" s="6">
        <f>14670/28*F71</f>
        <v>12050.357142857143</v>
      </c>
      <c r="N71" s="6">
        <f>2096/28*F71</f>
        <v>1721.7142857142858</v>
      </c>
      <c r="O71" s="6">
        <f>4191/28*F71</f>
        <v>3442.6071428571427</v>
      </c>
      <c r="P71" s="8"/>
      <c r="Q71" s="8"/>
      <c r="R71" s="6">
        <f t="shared" si="1"/>
        <v>39592.857142857138</v>
      </c>
      <c r="S71" s="6">
        <v>1800</v>
      </c>
      <c r="T71" s="6">
        <v>1800</v>
      </c>
      <c r="U71" s="8">
        <v>208</v>
      </c>
      <c r="V71" s="8"/>
      <c r="W71" s="8"/>
      <c r="X71" s="8"/>
      <c r="Y71" s="8"/>
      <c r="Z71" s="6">
        <f t="shared" si="2"/>
        <v>2008</v>
      </c>
      <c r="AA71" s="6">
        <f t="shared" si="3"/>
        <v>37584.857142857138</v>
      </c>
      <c r="AB71" s="6">
        <f t="shared" si="4"/>
        <v>37584.857142857138</v>
      </c>
    </row>
    <row r="72" spans="1:29" x14ac:dyDescent="0.25">
      <c r="A72" s="28">
        <v>69</v>
      </c>
      <c r="B72" s="5" t="s">
        <v>100</v>
      </c>
      <c r="C72" s="3" t="s">
        <v>30</v>
      </c>
      <c r="D72" s="3" t="s">
        <v>31</v>
      </c>
      <c r="E72" s="4">
        <v>30495</v>
      </c>
      <c r="F72" s="8">
        <v>28</v>
      </c>
      <c r="G72" s="8"/>
      <c r="H72" s="8"/>
      <c r="I72" s="8"/>
      <c r="J72" s="8"/>
      <c r="K72" s="6">
        <f>17236/28*F72</f>
        <v>17236</v>
      </c>
      <c r="L72" s="8"/>
      <c r="M72" s="6">
        <f>9281/3281*F72</f>
        <v>79.203901249619022</v>
      </c>
      <c r="N72" s="6">
        <f>1326/28*F72</f>
        <v>1326</v>
      </c>
      <c r="O72" s="6">
        <f>2652/28*F72</f>
        <v>2652</v>
      </c>
      <c r="P72" s="8"/>
      <c r="Q72" s="8"/>
      <c r="R72" s="6">
        <f t="shared" si="1"/>
        <v>21293.203901249621</v>
      </c>
      <c r="S72" s="6">
        <v>1800</v>
      </c>
      <c r="T72" s="6">
        <v>1800</v>
      </c>
      <c r="U72" s="8">
        <v>180</v>
      </c>
      <c r="V72" s="8"/>
      <c r="W72" s="8"/>
      <c r="X72" s="8"/>
      <c r="Y72" s="8"/>
      <c r="Z72" s="6">
        <f t="shared" si="2"/>
        <v>1980</v>
      </c>
      <c r="AA72" s="6">
        <f t="shared" si="3"/>
        <v>19313.203901249621</v>
      </c>
      <c r="AB72" s="6">
        <f t="shared" si="4"/>
        <v>19313.203901249621</v>
      </c>
    </row>
    <row r="73" spans="1:29" x14ac:dyDescent="0.25">
      <c r="A73" s="28">
        <v>70</v>
      </c>
      <c r="B73" s="5" t="s">
        <v>101</v>
      </c>
      <c r="C73" s="3" t="s">
        <v>30</v>
      </c>
      <c r="D73" s="3" t="s">
        <v>31</v>
      </c>
      <c r="E73" s="6">
        <v>65352</v>
      </c>
      <c r="F73" s="8">
        <v>28</v>
      </c>
      <c r="G73" s="8"/>
      <c r="H73" s="8"/>
      <c r="I73" s="8"/>
      <c r="J73" s="8"/>
      <c r="K73" s="6">
        <f>32676/28*F73</f>
        <v>32676</v>
      </c>
      <c r="L73" s="8"/>
      <c r="M73" s="6">
        <f>22873/28*F73</f>
        <v>22873</v>
      </c>
      <c r="N73" s="6">
        <f>3268/28*F73</f>
        <v>3268</v>
      </c>
      <c r="O73" s="6">
        <f>6535/28*F73</f>
        <v>6535</v>
      </c>
      <c r="P73" s="8"/>
      <c r="Q73" s="8"/>
      <c r="R73" s="6">
        <f t="shared" si="1"/>
        <v>65352</v>
      </c>
      <c r="S73" s="6">
        <v>1800</v>
      </c>
      <c r="T73" s="6">
        <v>1800</v>
      </c>
      <c r="U73" s="8">
        <v>208</v>
      </c>
      <c r="V73" s="8"/>
      <c r="W73" s="8"/>
      <c r="X73" s="8"/>
      <c r="Y73" s="8"/>
      <c r="Z73" s="6">
        <f t="shared" si="2"/>
        <v>2008</v>
      </c>
      <c r="AA73" s="6">
        <f t="shared" si="3"/>
        <v>63344</v>
      </c>
      <c r="AB73" s="6">
        <f t="shared" si="4"/>
        <v>63344</v>
      </c>
    </row>
    <row r="74" spans="1:29" x14ac:dyDescent="0.25">
      <c r="A74" s="28">
        <v>71</v>
      </c>
      <c r="B74" s="5" t="s">
        <v>102</v>
      </c>
      <c r="C74" s="3" t="s">
        <v>30</v>
      </c>
      <c r="D74" s="3" t="s">
        <v>31</v>
      </c>
      <c r="E74" s="6">
        <v>156617</v>
      </c>
      <c r="F74" s="8">
        <v>27</v>
      </c>
      <c r="G74" s="8"/>
      <c r="H74" s="8"/>
      <c r="I74" s="8"/>
      <c r="J74" s="8"/>
      <c r="K74" s="6">
        <f>88523/28*F74</f>
        <v>85361.46428571429</v>
      </c>
      <c r="L74" s="8"/>
      <c r="M74" s="6">
        <f>47666/28*F74</f>
        <v>45963.642857142855</v>
      </c>
      <c r="N74" s="6">
        <f>6809/28*F74</f>
        <v>6565.8214285714284</v>
      </c>
      <c r="O74" s="6">
        <f>13619/28*F74</f>
        <v>13132.607142857143</v>
      </c>
      <c r="P74" s="8"/>
      <c r="Q74" s="8"/>
      <c r="R74" s="6">
        <f t="shared" si="1"/>
        <v>151023.53571428571</v>
      </c>
      <c r="S74" s="6">
        <v>1800</v>
      </c>
      <c r="T74" s="6">
        <v>1800</v>
      </c>
      <c r="U74" s="8">
        <v>208</v>
      </c>
      <c r="V74" s="8"/>
      <c r="W74" s="8"/>
      <c r="X74" s="8"/>
      <c r="Y74" s="8"/>
      <c r="Z74" s="6">
        <f t="shared" si="2"/>
        <v>2008</v>
      </c>
      <c r="AA74" s="6">
        <f t="shared" si="3"/>
        <v>149015.53571428571</v>
      </c>
      <c r="AB74" s="6">
        <f t="shared" si="4"/>
        <v>149015.53571428571</v>
      </c>
    </row>
    <row r="75" spans="1:29" x14ac:dyDescent="0.25">
      <c r="A75" s="28">
        <v>72</v>
      </c>
      <c r="B75" s="15" t="s">
        <v>103</v>
      </c>
      <c r="C75" s="3" t="s">
        <v>30</v>
      </c>
      <c r="D75" s="3" t="s">
        <v>31</v>
      </c>
      <c r="E75" s="8">
        <v>45011</v>
      </c>
      <c r="F75" s="8">
        <v>12</v>
      </c>
      <c r="G75" s="8"/>
      <c r="H75" s="8"/>
      <c r="I75" s="8"/>
      <c r="J75" s="8"/>
      <c r="K75" s="8">
        <f>22505/28*F75</f>
        <v>9645</v>
      </c>
      <c r="L75" s="8"/>
      <c r="M75" s="8">
        <f>15754/28*F75</f>
        <v>6751.7142857142853</v>
      </c>
      <c r="N75" s="8">
        <f>2251/28*F75</f>
        <v>964.71428571428567</v>
      </c>
      <c r="O75" s="8">
        <f>4501/28*F75</f>
        <v>1929</v>
      </c>
      <c r="P75" s="8"/>
      <c r="Q75" s="8"/>
      <c r="R75" s="6">
        <f t="shared" si="1"/>
        <v>19290.428571428572</v>
      </c>
      <c r="S75" s="8">
        <v>1505</v>
      </c>
      <c r="T75" s="8">
        <v>1505</v>
      </c>
      <c r="U75" s="8">
        <v>180</v>
      </c>
      <c r="V75" s="8"/>
      <c r="W75" s="8"/>
      <c r="X75" s="8"/>
      <c r="Y75" s="8"/>
      <c r="Z75" s="6">
        <f t="shared" si="2"/>
        <v>1685</v>
      </c>
      <c r="AA75" s="6">
        <f t="shared" si="3"/>
        <v>17605.428571428572</v>
      </c>
      <c r="AB75" s="6">
        <f t="shared" si="4"/>
        <v>17605.428571428572</v>
      </c>
    </row>
    <row r="76" spans="1:29" x14ac:dyDescent="0.25">
      <c r="A76" s="28">
        <v>73</v>
      </c>
      <c r="B76" s="15" t="s">
        <v>104</v>
      </c>
      <c r="C76" s="3" t="s">
        <v>30</v>
      </c>
      <c r="D76" s="3" t="s">
        <v>31</v>
      </c>
      <c r="E76" s="8">
        <v>23980</v>
      </c>
      <c r="F76" s="8">
        <v>18</v>
      </c>
      <c r="G76" s="8"/>
      <c r="H76" s="8"/>
      <c r="I76" s="8"/>
      <c r="J76" s="8"/>
      <c r="K76" s="8">
        <f>11990/28*F76</f>
        <v>7707.8571428571431</v>
      </c>
      <c r="L76" s="8"/>
      <c r="M76" s="8">
        <f>8393/28*F76</f>
        <v>5395.5</v>
      </c>
      <c r="N76" s="8">
        <f>1199/28*F76</f>
        <v>770.78571428571422</v>
      </c>
      <c r="O76" s="8">
        <f>2398/28*F76</f>
        <v>1541.5714285714284</v>
      </c>
      <c r="P76" s="8"/>
      <c r="Q76" s="8"/>
      <c r="R76" s="6">
        <f t="shared" si="1"/>
        <v>15415.714285714286</v>
      </c>
      <c r="S76" s="8">
        <v>1202</v>
      </c>
      <c r="T76" s="8">
        <v>1202</v>
      </c>
      <c r="U76" s="8">
        <v>180</v>
      </c>
      <c r="V76" s="8"/>
      <c r="W76" s="8"/>
      <c r="X76" s="8"/>
      <c r="Y76" s="8"/>
      <c r="Z76" s="6">
        <f t="shared" si="2"/>
        <v>1382</v>
      </c>
      <c r="AA76" s="6">
        <f t="shared" si="3"/>
        <v>14033.714285714286</v>
      </c>
      <c r="AB76" s="6">
        <f t="shared" si="4"/>
        <v>14033.714285714286</v>
      </c>
    </row>
    <row r="77" spans="1:29" x14ac:dyDescent="0.25">
      <c r="A77" s="28">
        <v>74</v>
      </c>
      <c r="B77" s="15" t="s">
        <v>105</v>
      </c>
      <c r="C77" s="3" t="s">
        <v>30</v>
      </c>
      <c r="D77" s="3" t="s">
        <v>31</v>
      </c>
      <c r="E77" s="8">
        <v>31533</v>
      </c>
      <c r="F77" s="8">
        <v>25</v>
      </c>
      <c r="G77" s="8"/>
      <c r="H77" s="8"/>
      <c r="I77" s="8"/>
      <c r="J77" s="8"/>
      <c r="K77" s="8">
        <f>17823/28*F77</f>
        <v>15913.392857142859</v>
      </c>
      <c r="M77" s="8">
        <f>9597/28*F77</f>
        <v>8568.75</v>
      </c>
      <c r="N77" s="8">
        <f>1371/28*F77</f>
        <v>1224.1071428571429</v>
      </c>
      <c r="O77" s="16">
        <f>2742/28*F77</f>
        <v>2448.2142857142858</v>
      </c>
      <c r="P77" s="8"/>
      <c r="Q77" s="8"/>
      <c r="R77" s="6">
        <f t="shared" si="1"/>
        <v>28154.464285714286</v>
      </c>
      <c r="S77" s="8">
        <v>1800</v>
      </c>
      <c r="T77" s="8">
        <v>1800</v>
      </c>
      <c r="U77" s="8">
        <v>208</v>
      </c>
      <c r="V77" s="8"/>
      <c r="W77" s="8"/>
      <c r="X77" s="8"/>
      <c r="Y77" s="8"/>
      <c r="Z77" s="6">
        <f t="shared" si="2"/>
        <v>2008</v>
      </c>
      <c r="AA77" s="6">
        <f t="shared" si="3"/>
        <v>26146.464285714286</v>
      </c>
      <c r="AB77" s="6">
        <f t="shared" si="4"/>
        <v>26146.464285714286</v>
      </c>
    </row>
    <row r="78" spans="1:29" x14ac:dyDescent="0.25">
      <c r="A78" s="28">
        <v>75</v>
      </c>
      <c r="B78" s="15" t="s">
        <v>106</v>
      </c>
      <c r="C78" s="3" t="s">
        <v>30</v>
      </c>
      <c r="D78" s="3" t="s">
        <v>31</v>
      </c>
      <c r="E78" s="8">
        <v>37426</v>
      </c>
      <c r="F78" s="8">
        <v>25.5</v>
      </c>
      <c r="G78" s="8"/>
      <c r="H78" s="8"/>
      <c r="I78" s="8"/>
      <c r="J78" s="8"/>
      <c r="K78" s="8">
        <f>18713/28*F78</f>
        <v>17042.196428571428</v>
      </c>
      <c r="L78" s="8"/>
      <c r="M78" s="8">
        <f>13099/28*F78</f>
        <v>11929.446428571428</v>
      </c>
      <c r="N78" s="8">
        <f>1871/28*F78</f>
        <v>1703.9464285714284</v>
      </c>
      <c r="O78" s="17">
        <f>3743/28*F78</f>
        <v>3408.8035714285711</v>
      </c>
      <c r="P78" s="8"/>
      <c r="Q78" s="8"/>
      <c r="R78" s="6">
        <f t="shared" si="1"/>
        <v>34084.392857142855</v>
      </c>
      <c r="S78" s="8">
        <v>1800</v>
      </c>
      <c r="T78" s="8">
        <v>1800</v>
      </c>
      <c r="U78" s="8">
        <v>208</v>
      </c>
      <c r="V78" s="8"/>
      <c r="W78" s="8"/>
      <c r="X78" s="8"/>
      <c r="Y78" s="8"/>
      <c r="Z78" s="6">
        <f t="shared" si="2"/>
        <v>2008</v>
      </c>
      <c r="AA78" s="6">
        <f t="shared" si="3"/>
        <v>32076.392857142855</v>
      </c>
      <c r="AB78" s="6">
        <f t="shared" si="4"/>
        <v>32076.392857142855</v>
      </c>
    </row>
    <row r="79" spans="1:29" x14ac:dyDescent="0.25">
      <c r="A79" s="28">
        <v>76</v>
      </c>
      <c r="B79" s="15" t="s">
        <v>107</v>
      </c>
      <c r="C79" s="3" t="s">
        <v>30</v>
      </c>
      <c r="D79" s="3" t="s">
        <v>31</v>
      </c>
      <c r="E79" s="8">
        <v>33660</v>
      </c>
      <c r="F79" s="8">
        <v>27</v>
      </c>
      <c r="G79" s="8"/>
      <c r="H79" s="8"/>
      <c r="I79" s="8"/>
      <c r="J79" s="8"/>
      <c r="K79" s="8">
        <f>16830/28*F79</f>
        <v>16228.928571428571</v>
      </c>
      <c r="L79" s="8"/>
      <c r="M79" s="8">
        <f>11781/28*F79</f>
        <v>11360.25</v>
      </c>
      <c r="N79" s="8">
        <f>1683/28*F79</f>
        <v>1622.8928571428571</v>
      </c>
      <c r="O79" s="8">
        <f>3366/28*F79</f>
        <v>3245.7857142857142</v>
      </c>
      <c r="P79" s="8"/>
      <c r="Q79" s="8"/>
      <c r="R79" s="6">
        <f t="shared" si="1"/>
        <v>32457.857142857145</v>
      </c>
      <c r="S79" s="8">
        <v>1800</v>
      </c>
      <c r="T79" s="8">
        <v>1800</v>
      </c>
      <c r="U79" s="8">
        <v>208</v>
      </c>
      <c r="V79" s="8"/>
      <c r="W79" s="8"/>
      <c r="X79" s="8"/>
      <c r="Y79" s="8"/>
      <c r="Z79" s="6">
        <f t="shared" si="2"/>
        <v>2008</v>
      </c>
      <c r="AA79" s="6">
        <f t="shared" si="3"/>
        <v>30449.857142857145</v>
      </c>
      <c r="AB79" s="6">
        <f t="shared" si="4"/>
        <v>30449.857142857145</v>
      </c>
    </row>
    <row r="80" spans="1:29" x14ac:dyDescent="0.25">
      <c r="A80" s="28">
        <v>77</v>
      </c>
      <c r="B80" s="15" t="s">
        <v>108</v>
      </c>
      <c r="C80" s="3" t="s">
        <v>30</v>
      </c>
      <c r="D80" s="3" t="s">
        <v>31</v>
      </c>
      <c r="E80" s="8">
        <v>41950</v>
      </c>
      <c r="F80" s="8">
        <v>27</v>
      </c>
      <c r="G80" s="8"/>
      <c r="H80" s="8"/>
      <c r="I80" s="8"/>
      <c r="J80" s="8"/>
      <c r="K80" s="8">
        <f>23711/28*F80</f>
        <v>22864.178571428572</v>
      </c>
      <c r="L80" s="8"/>
      <c r="M80" s="8">
        <f>12767/28*F80</f>
        <v>12311.035714285714</v>
      </c>
      <c r="N80" s="8">
        <f>1824/28*F80</f>
        <v>1758.8571428571427</v>
      </c>
      <c r="O80" s="8">
        <f>3648/28*F80</f>
        <v>3517.7142857142853</v>
      </c>
      <c r="P80" s="8"/>
      <c r="Q80" s="8"/>
      <c r="R80" s="6">
        <f t="shared" si="1"/>
        <v>40451.785714285717</v>
      </c>
      <c r="S80" s="8">
        <v>1800</v>
      </c>
      <c r="T80" s="8">
        <v>1800</v>
      </c>
      <c r="U80" s="8">
        <v>208</v>
      </c>
      <c r="V80" s="8"/>
      <c r="W80" s="8"/>
      <c r="X80" s="8"/>
      <c r="Y80" s="8"/>
      <c r="Z80" s="6">
        <f t="shared" si="2"/>
        <v>2008</v>
      </c>
      <c r="AA80" s="6">
        <f t="shared" si="3"/>
        <v>38443.785714285717</v>
      </c>
      <c r="AB80" s="6">
        <f t="shared" si="4"/>
        <v>38443.785714285717</v>
      </c>
    </row>
    <row r="81" spans="1:28" x14ac:dyDescent="0.25">
      <c r="A81" s="28">
        <v>78</v>
      </c>
      <c r="B81" s="15" t="s">
        <v>109</v>
      </c>
      <c r="C81" s="3" t="s">
        <v>30</v>
      </c>
      <c r="D81" s="3" t="s">
        <v>31</v>
      </c>
      <c r="E81" s="8">
        <v>36826</v>
      </c>
      <c r="F81" s="8">
        <v>25.5</v>
      </c>
      <c r="G81" s="8"/>
      <c r="H81" s="8"/>
      <c r="I81" s="8"/>
      <c r="J81" s="8"/>
      <c r="K81" s="8">
        <f>18413/28*F81</f>
        <v>16768.982142857145</v>
      </c>
      <c r="L81" s="8"/>
      <c r="M81" s="8">
        <f>12889/28*F81</f>
        <v>11738.196428571428</v>
      </c>
      <c r="N81" s="8">
        <f>1841/28*F81</f>
        <v>1676.625</v>
      </c>
      <c r="O81" s="8">
        <f>3683/28*F81</f>
        <v>3354.1607142857142</v>
      </c>
      <c r="P81" s="8"/>
      <c r="Q81" s="8"/>
      <c r="R81" s="6">
        <f t="shared" si="1"/>
        <v>33537.96428571429</v>
      </c>
      <c r="S81" s="8">
        <v>1800</v>
      </c>
      <c r="T81" s="8">
        <v>1800</v>
      </c>
      <c r="U81" s="8">
        <v>208</v>
      </c>
      <c r="V81" s="8"/>
      <c r="W81" s="8"/>
      <c r="X81" s="8"/>
      <c r="Y81" s="8"/>
      <c r="Z81" s="6">
        <f t="shared" si="2"/>
        <v>2008</v>
      </c>
      <c r="AA81" s="6">
        <f t="shared" si="3"/>
        <v>31529.96428571429</v>
      </c>
      <c r="AB81" s="6">
        <f t="shared" si="4"/>
        <v>31529.96428571429</v>
      </c>
    </row>
    <row r="82" spans="1:28" x14ac:dyDescent="0.25">
      <c r="A82" s="28">
        <v>79</v>
      </c>
      <c r="B82" s="15" t="s">
        <v>114</v>
      </c>
      <c r="C82" s="3" t="s">
        <v>30</v>
      </c>
      <c r="D82" s="3" t="s">
        <v>31</v>
      </c>
      <c r="E82" s="8">
        <v>61480</v>
      </c>
      <c r="F82" s="8">
        <v>27</v>
      </c>
      <c r="G82" s="8"/>
      <c r="H82" s="8"/>
      <c r="I82" s="8"/>
      <c r="J82" s="8"/>
      <c r="K82" s="8">
        <f>30740/28*F82</f>
        <v>29642.142857142859</v>
      </c>
      <c r="M82" s="8">
        <f>21518/28*F82</f>
        <v>20749.5</v>
      </c>
      <c r="N82" s="8">
        <f>3074/28*F82</f>
        <v>2964.2142857142858</v>
      </c>
      <c r="O82" s="8">
        <f>6148/28*F82</f>
        <v>5928.4285714285716</v>
      </c>
      <c r="P82" s="8"/>
      <c r="Q82" s="8"/>
      <c r="R82" s="6">
        <f t="shared" si="1"/>
        <v>59284.28571428571</v>
      </c>
      <c r="S82" s="8">
        <v>1800</v>
      </c>
      <c r="T82" s="8">
        <v>1800</v>
      </c>
      <c r="U82" s="8">
        <v>208</v>
      </c>
      <c r="V82" s="8"/>
      <c r="W82" s="8"/>
      <c r="X82" s="8"/>
      <c r="Y82" s="8"/>
      <c r="Z82" s="6">
        <f t="shared" si="2"/>
        <v>2008</v>
      </c>
      <c r="AA82" s="6">
        <f t="shared" si="3"/>
        <v>57276.28571428571</v>
      </c>
      <c r="AB82" s="6">
        <f t="shared" si="4"/>
        <v>57276.28571428571</v>
      </c>
    </row>
    <row r="83" spans="1:28" ht="15.75" x14ac:dyDescent="0.25">
      <c r="A83" s="28">
        <v>80</v>
      </c>
      <c r="B83" s="18" t="s">
        <v>115</v>
      </c>
      <c r="C83" s="3" t="s">
        <v>30</v>
      </c>
      <c r="D83" s="3" t="s">
        <v>31</v>
      </c>
      <c r="E83" s="8">
        <v>20974</v>
      </c>
      <c r="F83" s="8">
        <v>27</v>
      </c>
      <c r="G83" s="8"/>
      <c r="H83" s="8"/>
      <c r="I83" s="8"/>
      <c r="J83" s="8"/>
      <c r="K83" s="8">
        <f>10487/28*F83</f>
        <v>10112.464285714286</v>
      </c>
      <c r="L83" s="8"/>
      <c r="M83" s="8">
        <f>7341/28*F83</f>
        <v>7078.8214285714294</v>
      </c>
      <c r="N83" s="8">
        <f>1049/28*F83</f>
        <v>1011.5357142857143</v>
      </c>
      <c r="O83" s="8">
        <f>2097/28*F83</f>
        <v>2022.1071428571427</v>
      </c>
      <c r="P83" s="8"/>
      <c r="Q83" s="8"/>
      <c r="R83" s="6">
        <f t="shared" si="1"/>
        <v>20224.928571428572</v>
      </c>
      <c r="S83" s="8">
        <v>1578</v>
      </c>
      <c r="T83" s="8">
        <v>1578</v>
      </c>
      <c r="U83" s="8">
        <v>180</v>
      </c>
      <c r="V83" s="8">
        <v>152</v>
      </c>
      <c r="W83" s="8">
        <v>657</v>
      </c>
      <c r="X83" s="8"/>
      <c r="Y83" s="8"/>
      <c r="Z83" s="6">
        <f t="shared" si="2"/>
        <v>1910</v>
      </c>
      <c r="AA83" s="6">
        <f t="shared" si="3"/>
        <v>18314.928571428572</v>
      </c>
      <c r="AB83" s="6">
        <f t="shared" si="4"/>
        <v>18314.928571428572</v>
      </c>
    </row>
    <row r="84" spans="1:28" s="21" customFormat="1" x14ac:dyDescent="0.25">
      <c r="A84" s="29"/>
      <c r="B84" s="22" t="s">
        <v>17</v>
      </c>
      <c r="C84" s="19"/>
      <c r="D84" s="19"/>
      <c r="E84" s="20">
        <f t="shared" ref="E84:AA84" si="5">SUM(E66:E83)</f>
        <v>1121054</v>
      </c>
      <c r="F84" s="20">
        <f t="shared" si="5"/>
        <v>459</v>
      </c>
      <c r="G84" s="20">
        <f t="shared" si="5"/>
        <v>0</v>
      </c>
      <c r="H84" s="20">
        <f t="shared" si="5"/>
        <v>0</v>
      </c>
      <c r="I84" s="20">
        <f t="shared" si="5"/>
        <v>0</v>
      </c>
      <c r="J84" s="20">
        <f t="shared" si="5"/>
        <v>0</v>
      </c>
      <c r="K84" s="20">
        <f t="shared" si="5"/>
        <v>700601.78571428568</v>
      </c>
      <c r="L84" s="20">
        <f t="shared" si="5"/>
        <v>0</v>
      </c>
      <c r="M84" s="20">
        <f t="shared" si="5"/>
        <v>240042.41818696389</v>
      </c>
      <c r="N84" s="20">
        <f t="shared" si="5"/>
        <v>35606.214285714283</v>
      </c>
      <c r="O84" s="20">
        <f t="shared" si="5"/>
        <v>71213</v>
      </c>
      <c r="P84" s="20">
        <f t="shared" si="5"/>
        <v>0</v>
      </c>
      <c r="Q84" s="20">
        <f t="shared" si="5"/>
        <v>0</v>
      </c>
      <c r="R84" s="20">
        <f t="shared" si="5"/>
        <v>1047463.4181869638</v>
      </c>
      <c r="S84" s="20">
        <f t="shared" si="5"/>
        <v>29485</v>
      </c>
      <c r="T84" s="20">
        <f t="shared" si="5"/>
        <v>29485</v>
      </c>
      <c r="U84" s="20">
        <f t="shared" si="5"/>
        <v>3424</v>
      </c>
      <c r="V84" s="20">
        <f t="shared" si="5"/>
        <v>152</v>
      </c>
      <c r="W84" s="20">
        <f t="shared" si="5"/>
        <v>657</v>
      </c>
      <c r="X84" s="20">
        <f t="shared" si="5"/>
        <v>0</v>
      </c>
      <c r="Y84" s="20">
        <f t="shared" si="5"/>
        <v>0</v>
      </c>
      <c r="Z84" s="20">
        <f t="shared" si="5"/>
        <v>33061</v>
      </c>
      <c r="AA84" s="20">
        <f t="shared" si="5"/>
        <v>1014402.4181869638</v>
      </c>
      <c r="AB84" s="20">
        <f>SUM(AB66:AB83)</f>
        <v>1014402.4181869638</v>
      </c>
    </row>
    <row r="86" spans="1:28" s="23" customFormat="1" x14ac:dyDescent="0.25">
      <c r="A86" s="30"/>
      <c r="B86" s="23" t="s">
        <v>110</v>
      </c>
      <c r="E86" s="23">
        <f>E84+E65</f>
        <v>3312996</v>
      </c>
      <c r="F86" s="23">
        <f t="shared" ref="F86:AB86" si="6">F84+F65</f>
        <v>2026</v>
      </c>
      <c r="G86" s="23">
        <f t="shared" si="6"/>
        <v>1297.5</v>
      </c>
      <c r="H86" s="23">
        <f t="shared" si="6"/>
        <v>269.5</v>
      </c>
      <c r="I86" s="23">
        <f t="shared" si="6"/>
        <v>10516.160000000002</v>
      </c>
      <c r="J86" s="23">
        <f t="shared" si="6"/>
        <v>231.24</v>
      </c>
      <c r="K86" s="23">
        <f t="shared" si="6"/>
        <v>1866688.1857142856</v>
      </c>
      <c r="L86" s="23">
        <f t="shared" si="6"/>
        <v>8625</v>
      </c>
      <c r="M86" s="23">
        <f t="shared" si="6"/>
        <v>902952.1981869638</v>
      </c>
      <c r="N86" s="23">
        <f t="shared" si="6"/>
        <v>102717.21428571429</v>
      </c>
      <c r="O86" s="23">
        <f t="shared" si="6"/>
        <v>200448.47</v>
      </c>
      <c r="P86" s="23">
        <f t="shared" si="6"/>
        <v>0</v>
      </c>
      <c r="Q86" s="23">
        <f t="shared" si="6"/>
        <v>0</v>
      </c>
      <c r="R86" s="23">
        <f t="shared" si="6"/>
        <v>3081431.0481869639</v>
      </c>
      <c r="S86" s="23">
        <f t="shared" si="6"/>
        <v>110360</v>
      </c>
      <c r="T86" s="23">
        <f t="shared" si="6"/>
        <v>110360</v>
      </c>
      <c r="U86" s="23">
        <f t="shared" si="6"/>
        <v>12836</v>
      </c>
      <c r="V86" s="23">
        <f t="shared" si="6"/>
        <v>1673</v>
      </c>
      <c r="W86" s="23">
        <f t="shared" si="6"/>
        <v>7223</v>
      </c>
      <c r="X86" s="23">
        <f t="shared" si="6"/>
        <v>21179.3</v>
      </c>
      <c r="Y86" s="23">
        <f t="shared" si="6"/>
        <v>0</v>
      </c>
      <c r="Z86" s="23">
        <f t="shared" si="6"/>
        <v>146048.29999999999</v>
      </c>
      <c r="AA86" s="23">
        <f t="shared" si="6"/>
        <v>2935382.7581869639</v>
      </c>
      <c r="AB86" s="23">
        <f t="shared" si="6"/>
        <v>2935382.7581869639</v>
      </c>
    </row>
  </sheetData>
  <autoFilter ref="A1:AC63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"/>
  <sheetViews>
    <sheetView workbookViewId="0">
      <selection activeCell="C11" sqref="C11"/>
    </sheetView>
  </sheetViews>
  <sheetFormatPr defaultRowHeight="15" x14ac:dyDescent="0.25"/>
  <cols>
    <col min="1" max="1" width="20.5703125" bestFit="1" customWidth="1"/>
    <col min="2" max="2" width="27.7109375" style="38" customWidth="1"/>
    <col min="3" max="3" width="19.28515625" customWidth="1"/>
  </cols>
  <sheetData>
    <row r="2" spans="1:3" s="31" customFormat="1" x14ac:dyDescent="0.25">
      <c r="A2" s="32" t="s">
        <v>111</v>
      </c>
      <c r="B2" s="37" t="s">
        <v>112</v>
      </c>
      <c r="C2" s="32" t="s">
        <v>113</v>
      </c>
    </row>
    <row r="3" spans="1:3" x14ac:dyDescent="0.25">
      <c r="A3" s="15" t="s">
        <v>103</v>
      </c>
      <c r="B3" s="36">
        <v>50100845373881</v>
      </c>
      <c r="C3" s="7" t="s">
        <v>120</v>
      </c>
    </row>
    <row r="4" spans="1:3" x14ac:dyDescent="0.25">
      <c r="A4" s="15" t="s">
        <v>104</v>
      </c>
      <c r="B4" s="36">
        <v>183801000009256</v>
      </c>
      <c r="C4" s="7" t="s">
        <v>122</v>
      </c>
    </row>
    <row r="5" spans="1:3" x14ac:dyDescent="0.25">
      <c r="A5" s="15" t="s">
        <v>105</v>
      </c>
      <c r="B5" s="36">
        <v>50100849916339</v>
      </c>
      <c r="C5" s="7" t="s">
        <v>117</v>
      </c>
    </row>
    <row r="6" spans="1:3" x14ac:dyDescent="0.25">
      <c r="A6" s="15" t="s">
        <v>106</v>
      </c>
      <c r="B6" s="36">
        <v>50100245052314</v>
      </c>
      <c r="C6" s="7" t="s">
        <v>120</v>
      </c>
    </row>
    <row r="7" spans="1:3" x14ac:dyDescent="0.25">
      <c r="A7" s="15" t="s">
        <v>107</v>
      </c>
      <c r="B7" s="36">
        <v>22325201000027</v>
      </c>
      <c r="C7" s="7" t="s">
        <v>117</v>
      </c>
    </row>
    <row r="8" spans="1:3" x14ac:dyDescent="0.25">
      <c r="A8" s="15" t="s">
        <v>108</v>
      </c>
      <c r="B8" s="36">
        <v>50100355625570</v>
      </c>
      <c r="C8" s="7" t="s">
        <v>121</v>
      </c>
    </row>
    <row r="9" spans="1:3" x14ac:dyDescent="0.25">
      <c r="A9" s="15" t="s">
        <v>109</v>
      </c>
      <c r="B9" s="39" t="s">
        <v>118</v>
      </c>
      <c r="C9" s="7" t="s">
        <v>119</v>
      </c>
    </row>
    <row r="10" spans="1:3" x14ac:dyDescent="0.25">
      <c r="A10" s="15" t="s">
        <v>114</v>
      </c>
      <c r="B10" s="36">
        <v>923010068423381</v>
      </c>
      <c r="C10" s="7" t="s">
        <v>116</v>
      </c>
    </row>
    <row r="11" spans="1:3" ht="15.75" x14ac:dyDescent="0.25">
      <c r="A11" s="18" t="s">
        <v>115</v>
      </c>
      <c r="B11" s="36">
        <v>41762912119</v>
      </c>
      <c r="C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Regular Staff</vt:lpstr>
      <vt:lpstr>NEW EMPLOYEES BANK DETAILS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2026-03-02T10:18:42Z</dcterms:created>
  <dcterms:modified xsi:type="dcterms:W3CDTF">2026-03-06T09:20:07Z</dcterms:modified>
  <cp:category/>
</cp:coreProperties>
</file>