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0cc99cf8d249b8/Desktop/"/>
    </mc:Choice>
  </mc:AlternateContent>
  <xr:revisionPtr revIDLastSave="0" documentId="8_{E2E14943-8226-44D8-B29A-8D1C42CF6D28}" xr6:coauthVersionLast="47" xr6:coauthVersionMax="47" xr10:uidLastSave="{00000000-0000-0000-0000-000000000000}"/>
  <bookViews>
    <workbookView xWindow="-110" yWindow="-110" windowWidth="19420" windowHeight="10300" activeTab="4" xr2:uid="{909BEBCE-0B7C-7E49-805A-B824211AC836}"/>
  </bookViews>
  <sheets>
    <sheet name="Concept Explained" sheetId="1" r:id="rId1"/>
    <sheet name="Concept Explained1" sheetId="2" r:id="rId2"/>
    <sheet name="Bucket Strategy Tool" sheetId="3" r:id="rId3"/>
    <sheet name="Calculation with Inflation" sheetId="4" r:id="rId4"/>
    <sheet name="Calculation without Inflation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5" l="1"/>
  <c r="C14" i="4"/>
  <c r="C39" i="4" s="1"/>
  <c r="D56" i="4" s="1"/>
  <c r="E56" i="4" l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K56" i="4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O58" i="5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O77" i="5" s="1"/>
  <c r="O78" i="5" s="1"/>
  <c r="O79" i="5" s="1"/>
  <c r="O80" i="5" s="1"/>
  <c r="O81" i="5" s="1"/>
  <c r="O82" i="5" s="1"/>
  <c r="O83" i="5" s="1"/>
  <c r="O84" i="5" s="1"/>
  <c r="O85" i="5" s="1"/>
  <c r="O86" i="5" s="1"/>
  <c r="O87" i="5" s="1"/>
  <c r="O88" i="5" s="1"/>
  <c r="O89" i="5" s="1"/>
  <c r="O90" i="5" s="1"/>
  <c r="O91" i="5" s="1"/>
  <c r="O92" i="5" s="1"/>
  <c r="O93" i="5" s="1"/>
  <c r="O94" i="5" s="1"/>
  <c r="O95" i="5" s="1"/>
  <c r="O96" i="5" s="1"/>
  <c r="O97" i="5" s="1"/>
  <c r="O98" i="5" s="1"/>
  <c r="O99" i="5" s="1"/>
  <c r="O100" i="5" s="1"/>
  <c r="O101" i="5" s="1"/>
  <c r="O102" i="5" s="1"/>
  <c r="O103" i="5" s="1"/>
  <c r="O104" i="5" s="1"/>
  <c r="O105" i="5" s="1"/>
  <c r="O106" i="5" s="1"/>
  <c r="O107" i="5" s="1"/>
  <c r="O108" i="5" s="1"/>
  <c r="O109" i="5" s="1"/>
  <c r="O110" i="5" s="1"/>
  <c r="O111" i="5" s="1"/>
  <c r="O112" i="5" s="1"/>
  <c r="O113" i="5" s="1"/>
  <c r="O114" i="5" s="1"/>
  <c r="O115" i="5" s="1"/>
  <c r="O116" i="5" s="1"/>
  <c r="O117" i="5" s="1"/>
  <c r="O118" i="5" s="1"/>
  <c r="O119" i="5" s="1"/>
  <c r="O120" i="5" s="1"/>
  <c r="O121" i="5" s="1"/>
  <c r="O122" i="5" s="1"/>
  <c r="O123" i="5" s="1"/>
  <c r="O124" i="5" s="1"/>
  <c r="O125" i="5" s="1"/>
  <c r="O126" i="5" s="1"/>
  <c r="O127" i="5" s="1"/>
  <c r="O128" i="5" s="1"/>
  <c r="O129" i="5" s="1"/>
  <c r="O130" i="5" s="1"/>
  <c r="O131" i="5" s="1"/>
  <c r="O132" i="5" s="1"/>
  <c r="O133" i="5" s="1"/>
  <c r="O134" i="5" s="1"/>
  <c r="O135" i="5" s="1"/>
  <c r="O136" i="5" s="1"/>
  <c r="O137" i="5" s="1"/>
  <c r="O138" i="5" s="1"/>
  <c r="O139" i="5" s="1"/>
  <c r="O140" i="5" s="1"/>
  <c r="O141" i="5" s="1"/>
  <c r="O142" i="5" s="1"/>
  <c r="O143" i="5" s="1"/>
  <c r="O144" i="5" s="1"/>
  <c r="O145" i="5" s="1"/>
  <c r="O146" i="5" s="1"/>
  <c r="O147" i="5" s="1"/>
  <c r="O148" i="5" s="1"/>
  <c r="O149" i="5" s="1"/>
  <c r="O150" i="5" s="1"/>
  <c r="O151" i="5" s="1"/>
  <c r="O152" i="5" s="1"/>
  <c r="O153" i="5" s="1"/>
  <c r="O154" i="5" s="1"/>
  <c r="O155" i="5" s="1"/>
  <c r="O156" i="5" s="1"/>
  <c r="O157" i="5" s="1"/>
  <c r="O158" i="5" s="1"/>
  <c r="O159" i="5" s="1"/>
  <c r="O160" i="5" s="1"/>
  <c r="O161" i="5" s="1"/>
  <c r="O162" i="5" s="1"/>
  <c r="O163" i="5" s="1"/>
  <c r="O164" i="5" s="1"/>
  <c r="O165" i="5" s="1"/>
  <c r="O166" i="5" s="1"/>
  <c r="O167" i="5" s="1"/>
  <c r="O168" i="5" s="1"/>
  <c r="O169" i="5" s="1"/>
  <c r="O170" i="5" s="1"/>
  <c r="O171" i="5" s="1"/>
  <c r="O172" i="5" s="1"/>
  <c r="O173" i="5" s="1"/>
  <c r="O174" i="5" s="1"/>
  <c r="O175" i="5" s="1"/>
  <c r="C58" i="5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U57" i="5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U90" i="5" s="1"/>
  <c r="U91" i="5" s="1"/>
  <c r="U92" i="5" s="1"/>
  <c r="U93" i="5" s="1"/>
  <c r="U94" i="5" s="1"/>
  <c r="U95" i="5" s="1"/>
  <c r="U96" i="5" s="1"/>
  <c r="U97" i="5" s="1"/>
  <c r="U98" i="5" s="1"/>
  <c r="U99" i="5" s="1"/>
  <c r="U100" i="5" s="1"/>
  <c r="U101" i="5" s="1"/>
  <c r="U102" i="5" s="1"/>
  <c r="U103" i="5" s="1"/>
  <c r="U104" i="5" s="1"/>
  <c r="U105" i="5" s="1"/>
  <c r="U106" i="5" s="1"/>
  <c r="U107" i="5" s="1"/>
  <c r="U108" i="5" s="1"/>
  <c r="U109" i="5" s="1"/>
  <c r="U110" i="5" s="1"/>
  <c r="U111" i="5" s="1"/>
  <c r="U112" i="5" s="1"/>
  <c r="U113" i="5" s="1"/>
  <c r="U114" i="5" s="1"/>
  <c r="U115" i="5" s="1"/>
  <c r="U116" i="5" s="1"/>
  <c r="U117" i="5" s="1"/>
  <c r="U118" i="5" s="1"/>
  <c r="U119" i="5" s="1"/>
  <c r="U120" i="5" s="1"/>
  <c r="U121" i="5" s="1"/>
  <c r="U122" i="5" s="1"/>
  <c r="U123" i="5" s="1"/>
  <c r="U124" i="5" s="1"/>
  <c r="U125" i="5" s="1"/>
  <c r="U126" i="5" s="1"/>
  <c r="U127" i="5" s="1"/>
  <c r="U128" i="5" s="1"/>
  <c r="U129" i="5" s="1"/>
  <c r="U130" i="5" s="1"/>
  <c r="U131" i="5" s="1"/>
  <c r="U132" i="5" s="1"/>
  <c r="U133" i="5" s="1"/>
  <c r="U134" i="5" s="1"/>
  <c r="U135" i="5" s="1"/>
  <c r="U136" i="5" s="1"/>
  <c r="U137" i="5" s="1"/>
  <c r="U138" i="5" s="1"/>
  <c r="U139" i="5" s="1"/>
  <c r="U140" i="5" s="1"/>
  <c r="U141" i="5" s="1"/>
  <c r="U142" i="5" s="1"/>
  <c r="U143" i="5" s="1"/>
  <c r="U144" i="5" s="1"/>
  <c r="U145" i="5" s="1"/>
  <c r="U146" i="5" s="1"/>
  <c r="U147" i="5" s="1"/>
  <c r="U148" i="5" s="1"/>
  <c r="U149" i="5" s="1"/>
  <c r="U150" i="5" s="1"/>
  <c r="U151" i="5" s="1"/>
  <c r="U152" i="5" s="1"/>
  <c r="U153" i="5" s="1"/>
  <c r="U154" i="5" s="1"/>
  <c r="U155" i="5" s="1"/>
  <c r="U156" i="5" s="1"/>
  <c r="U157" i="5" s="1"/>
  <c r="U158" i="5" s="1"/>
  <c r="U159" i="5" s="1"/>
  <c r="U160" i="5" s="1"/>
  <c r="U161" i="5" s="1"/>
  <c r="U162" i="5" s="1"/>
  <c r="U163" i="5" s="1"/>
  <c r="U164" i="5" s="1"/>
  <c r="U165" i="5" s="1"/>
  <c r="U166" i="5" s="1"/>
  <c r="U167" i="5" s="1"/>
  <c r="U168" i="5" s="1"/>
  <c r="U169" i="5" s="1"/>
  <c r="U170" i="5" s="1"/>
  <c r="U171" i="5" s="1"/>
  <c r="U172" i="5" s="1"/>
  <c r="U173" i="5" s="1"/>
  <c r="U174" i="5" s="1"/>
  <c r="U175" i="5" s="1"/>
  <c r="U176" i="5" s="1"/>
  <c r="U177" i="5" s="1"/>
  <c r="U178" i="5" s="1"/>
  <c r="U179" i="5" s="1"/>
  <c r="U180" i="5" s="1"/>
  <c r="U181" i="5" s="1"/>
  <c r="U182" i="5" s="1"/>
  <c r="U183" i="5" s="1"/>
  <c r="U184" i="5" s="1"/>
  <c r="U185" i="5" s="1"/>
  <c r="U186" i="5" s="1"/>
  <c r="U187" i="5" s="1"/>
  <c r="U188" i="5" s="1"/>
  <c r="U189" i="5" s="1"/>
  <c r="U190" i="5" s="1"/>
  <c r="U191" i="5" s="1"/>
  <c r="U192" i="5" s="1"/>
  <c r="U193" i="5" s="1"/>
  <c r="U194" i="5" s="1"/>
  <c r="U195" i="5" s="1"/>
  <c r="U196" i="5" s="1"/>
  <c r="U197" i="5" s="1"/>
  <c r="U198" i="5" s="1"/>
  <c r="U199" i="5" s="1"/>
  <c r="U200" i="5" s="1"/>
  <c r="U201" i="5" s="1"/>
  <c r="U202" i="5" s="1"/>
  <c r="U203" i="5" s="1"/>
  <c r="U204" i="5" s="1"/>
  <c r="U205" i="5" s="1"/>
  <c r="U206" i="5" s="1"/>
  <c r="U207" i="5" s="1"/>
  <c r="U208" i="5" s="1"/>
  <c r="U209" i="5" s="1"/>
  <c r="U210" i="5" s="1"/>
  <c r="U211" i="5" s="1"/>
  <c r="U212" i="5" s="1"/>
  <c r="U213" i="5" s="1"/>
  <c r="U214" i="5" s="1"/>
  <c r="U215" i="5" s="1"/>
  <c r="U216" i="5" s="1"/>
  <c r="U217" i="5" s="1"/>
  <c r="U218" i="5" s="1"/>
  <c r="U219" i="5" s="1"/>
  <c r="U220" i="5" s="1"/>
  <c r="U221" i="5" s="1"/>
  <c r="U222" i="5" s="1"/>
  <c r="U223" i="5" s="1"/>
  <c r="U224" i="5" s="1"/>
  <c r="U225" i="5" s="1"/>
  <c r="U226" i="5" s="1"/>
  <c r="U227" i="5" s="1"/>
  <c r="U228" i="5" s="1"/>
  <c r="U229" i="5" s="1"/>
  <c r="U230" i="5" s="1"/>
  <c r="U231" i="5" s="1"/>
  <c r="U232" i="5" s="1"/>
  <c r="U233" i="5" s="1"/>
  <c r="U234" i="5" s="1"/>
  <c r="U235" i="5" s="1"/>
  <c r="U236" i="5" s="1"/>
  <c r="U237" i="5" s="1"/>
  <c r="U238" i="5" s="1"/>
  <c r="U239" i="5" s="1"/>
  <c r="U240" i="5" s="1"/>
  <c r="U241" i="5" s="1"/>
  <c r="U242" i="5" s="1"/>
  <c r="U243" i="5" s="1"/>
  <c r="U244" i="5" s="1"/>
  <c r="U245" i="5" s="1"/>
  <c r="U246" i="5" s="1"/>
  <c r="U247" i="5" s="1"/>
  <c r="U248" i="5" s="1"/>
  <c r="U249" i="5" s="1"/>
  <c r="U250" i="5" s="1"/>
  <c r="U251" i="5" s="1"/>
  <c r="U252" i="5" s="1"/>
  <c r="U253" i="5" s="1"/>
  <c r="U254" i="5" s="1"/>
  <c r="U255" i="5" s="1"/>
  <c r="U256" i="5" s="1"/>
  <c r="U257" i="5" s="1"/>
  <c r="U258" i="5" s="1"/>
  <c r="U259" i="5" s="1"/>
  <c r="U260" i="5" s="1"/>
  <c r="U261" i="5" s="1"/>
  <c r="U262" i="5" s="1"/>
  <c r="U263" i="5" s="1"/>
  <c r="U264" i="5" s="1"/>
  <c r="U265" i="5" s="1"/>
  <c r="U266" i="5" s="1"/>
  <c r="U267" i="5" s="1"/>
  <c r="U268" i="5" s="1"/>
  <c r="U269" i="5" s="1"/>
  <c r="U270" i="5" s="1"/>
  <c r="U271" i="5" s="1"/>
  <c r="U272" i="5" s="1"/>
  <c r="U273" i="5" s="1"/>
  <c r="U274" i="5" s="1"/>
  <c r="U275" i="5" s="1"/>
  <c r="U276" i="5" s="1"/>
  <c r="U277" i="5" s="1"/>
  <c r="U278" i="5" s="1"/>
  <c r="U279" i="5" s="1"/>
  <c r="U280" i="5" s="1"/>
  <c r="U281" i="5" s="1"/>
  <c r="U282" i="5" s="1"/>
  <c r="U283" i="5" s="1"/>
  <c r="U284" i="5" s="1"/>
  <c r="U285" i="5" s="1"/>
  <c r="U286" i="5" s="1"/>
  <c r="U287" i="5" s="1"/>
  <c r="U288" i="5" s="1"/>
  <c r="U289" i="5" s="1"/>
  <c r="U290" i="5" s="1"/>
  <c r="U291" i="5" s="1"/>
  <c r="U292" i="5" s="1"/>
  <c r="U293" i="5" s="1"/>
  <c r="U294" i="5" s="1"/>
  <c r="U295" i="5" s="1"/>
  <c r="U296" i="5" s="1"/>
  <c r="U297" i="5" s="1"/>
  <c r="U298" i="5" s="1"/>
  <c r="U299" i="5" s="1"/>
  <c r="U300" i="5" s="1"/>
  <c r="U301" i="5" s="1"/>
  <c r="U302" i="5" s="1"/>
  <c r="U303" i="5" s="1"/>
  <c r="U304" i="5" s="1"/>
  <c r="U305" i="5" s="1"/>
  <c r="U306" i="5" s="1"/>
  <c r="U307" i="5" s="1"/>
  <c r="U308" i="5" s="1"/>
  <c r="U309" i="5" s="1"/>
  <c r="U310" i="5" s="1"/>
  <c r="U311" i="5" s="1"/>
  <c r="U312" i="5" s="1"/>
  <c r="U313" i="5" s="1"/>
  <c r="U314" i="5" s="1"/>
  <c r="U315" i="5" s="1"/>
  <c r="U316" i="5" s="1"/>
  <c r="U317" i="5" s="1"/>
  <c r="U318" i="5" s="1"/>
  <c r="U319" i="5" s="1"/>
  <c r="U320" i="5" s="1"/>
  <c r="U321" i="5" s="1"/>
  <c r="U322" i="5" s="1"/>
  <c r="U323" i="5" s="1"/>
  <c r="U324" i="5" s="1"/>
  <c r="U325" i="5" s="1"/>
  <c r="U326" i="5" s="1"/>
  <c r="U327" i="5" s="1"/>
  <c r="U328" i="5" s="1"/>
  <c r="U329" i="5" s="1"/>
  <c r="U330" i="5" s="1"/>
  <c r="U331" i="5" s="1"/>
  <c r="U332" i="5" s="1"/>
  <c r="U333" i="5" s="1"/>
  <c r="U334" i="5" s="1"/>
  <c r="U335" i="5" s="1"/>
  <c r="U336" i="5" s="1"/>
  <c r="U337" i="5" s="1"/>
  <c r="U338" i="5" s="1"/>
  <c r="U339" i="5" s="1"/>
  <c r="U340" i="5" s="1"/>
  <c r="U341" i="5" s="1"/>
  <c r="U342" i="5" s="1"/>
  <c r="U343" i="5" s="1"/>
  <c r="U344" i="5" s="1"/>
  <c r="U345" i="5" s="1"/>
  <c r="U346" i="5" s="1"/>
  <c r="U347" i="5" s="1"/>
  <c r="U348" i="5" s="1"/>
  <c r="U349" i="5" s="1"/>
  <c r="U350" i="5" s="1"/>
  <c r="U351" i="5" s="1"/>
  <c r="U352" i="5" s="1"/>
  <c r="U353" i="5" s="1"/>
  <c r="U354" i="5" s="1"/>
  <c r="U355" i="5" s="1"/>
  <c r="U356" i="5" s="1"/>
  <c r="U357" i="5" s="1"/>
  <c r="U358" i="5" s="1"/>
  <c r="U359" i="5" s="1"/>
  <c r="U360" i="5" s="1"/>
  <c r="U361" i="5" s="1"/>
  <c r="U362" i="5" s="1"/>
  <c r="U363" i="5" s="1"/>
  <c r="U364" i="5" s="1"/>
  <c r="U365" i="5" s="1"/>
  <c r="U366" i="5" s="1"/>
  <c r="U367" i="5" s="1"/>
  <c r="U368" i="5" s="1"/>
  <c r="U369" i="5" s="1"/>
  <c r="U370" i="5" s="1"/>
  <c r="U371" i="5" s="1"/>
  <c r="U372" i="5" s="1"/>
  <c r="U373" i="5" s="1"/>
  <c r="U374" i="5" s="1"/>
  <c r="U375" i="5" s="1"/>
  <c r="U376" i="5" s="1"/>
  <c r="U377" i="5" s="1"/>
  <c r="U378" i="5" s="1"/>
  <c r="U379" i="5" s="1"/>
  <c r="U380" i="5" s="1"/>
  <c r="U381" i="5" s="1"/>
  <c r="U382" i="5" s="1"/>
  <c r="U383" i="5" s="1"/>
  <c r="U384" i="5" s="1"/>
  <c r="U385" i="5" s="1"/>
  <c r="U386" i="5" s="1"/>
  <c r="U387" i="5" s="1"/>
  <c r="U388" i="5" s="1"/>
  <c r="U389" i="5" s="1"/>
  <c r="U390" i="5" s="1"/>
  <c r="U391" i="5" s="1"/>
  <c r="U392" i="5" s="1"/>
  <c r="U393" i="5" s="1"/>
  <c r="U394" i="5" s="1"/>
  <c r="U395" i="5" s="1"/>
  <c r="U396" i="5" s="1"/>
  <c r="U397" i="5" s="1"/>
  <c r="U398" i="5" s="1"/>
  <c r="U399" i="5" s="1"/>
  <c r="U400" i="5" s="1"/>
  <c r="U401" i="5" s="1"/>
  <c r="U402" i="5" s="1"/>
  <c r="U403" i="5" s="1"/>
  <c r="U404" i="5" s="1"/>
  <c r="U405" i="5" s="1"/>
  <c r="U406" i="5" s="1"/>
  <c r="U407" i="5" s="1"/>
  <c r="U408" i="5" s="1"/>
  <c r="U409" i="5" s="1"/>
  <c r="U410" i="5" s="1"/>
  <c r="U411" i="5" s="1"/>
  <c r="U412" i="5" s="1"/>
  <c r="U413" i="5" s="1"/>
  <c r="U414" i="5" s="1"/>
  <c r="U415" i="5" s="1"/>
  <c r="U416" i="5" s="1"/>
  <c r="U417" i="5" s="1"/>
  <c r="U418" i="5" s="1"/>
  <c r="U419" i="5" s="1"/>
  <c r="U420" i="5" s="1"/>
  <c r="U421" i="5" s="1"/>
  <c r="U422" i="5" s="1"/>
  <c r="U423" i="5" s="1"/>
  <c r="U424" i="5" s="1"/>
  <c r="U425" i="5" s="1"/>
  <c r="U426" i="5" s="1"/>
  <c r="U427" i="5" s="1"/>
  <c r="U428" i="5" s="1"/>
  <c r="U429" i="5" s="1"/>
  <c r="U430" i="5" s="1"/>
  <c r="U431" i="5" s="1"/>
  <c r="U432" i="5" s="1"/>
  <c r="U433" i="5" s="1"/>
  <c r="U434" i="5" s="1"/>
  <c r="U435" i="5" s="1"/>
  <c r="U436" i="5" s="1"/>
  <c r="U437" i="5" s="1"/>
  <c r="U438" i="5" s="1"/>
  <c r="U439" i="5" s="1"/>
  <c r="U440" i="5" s="1"/>
  <c r="U441" i="5" s="1"/>
  <c r="U442" i="5" s="1"/>
  <c r="U443" i="5" s="1"/>
  <c r="U444" i="5" s="1"/>
  <c r="U445" i="5" s="1"/>
  <c r="U446" i="5" s="1"/>
  <c r="U447" i="5" s="1"/>
  <c r="U448" i="5" s="1"/>
  <c r="U449" i="5" s="1"/>
  <c r="U450" i="5" s="1"/>
  <c r="U451" i="5" s="1"/>
  <c r="U452" i="5" s="1"/>
  <c r="U453" i="5" s="1"/>
  <c r="U454" i="5" s="1"/>
  <c r="U455" i="5" s="1"/>
  <c r="U456" i="5" s="1"/>
  <c r="U457" i="5" s="1"/>
  <c r="U458" i="5" s="1"/>
  <c r="U459" i="5" s="1"/>
  <c r="U460" i="5" s="1"/>
  <c r="U461" i="5" s="1"/>
  <c r="U462" i="5" s="1"/>
  <c r="U463" i="5" s="1"/>
  <c r="U464" i="5" s="1"/>
  <c r="U465" i="5" s="1"/>
  <c r="U466" i="5" s="1"/>
  <c r="U467" i="5" s="1"/>
  <c r="U468" i="5" s="1"/>
  <c r="U469" i="5" s="1"/>
  <c r="U470" i="5" s="1"/>
  <c r="U471" i="5" s="1"/>
  <c r="U472" i="5" s="1"/>
  <c r="U473" i="5" s="1"/>
  <c r="U474" i="5" s="1"/>
  <c r="U475" i="5" s="1"/>
  <c r="U476" i="5" s="1"/>
  <c r="U477" i="5" s="1"/>
  <c r="U478" i="5" s="1"/>
  <c r="U479" i="5" s="1"/>
  <c r="U480" i="5" s="1"/>
  <c r="U481" i="5" s="1"/>
  <c r="U482" i="5" s="1"/>
  <c r="U483" i="5" s="1"/>
  <c r="U484" i="5" s="1"/>
  <c r="U485" i="5" s="1"/>
  <c r="U486" i="5" s="1"/>
  <c r="U487" i="5" s="1"/>
  <c r="U488" i="5" s="1"/>
  <c r="U489" i="5" s="1"/>
  <c r="U490" i="5" s="1"/>
  <c r="U491" i="5" s="1"/>
  <c r="U492" i="5" s="1"/>
  <c r="U493" i="5" s="1"/>
  <c r="U494" i="5" s="1"/>
  <c r="U495" i="5" s="1"/>
  <c r="U496" i="5" s="1"/>
  <c r="U497" i="5" s="1"/>
  <c r="U498" i="5" s="1"/>
  <c r="U499" i="5" s="1"/>
  <c r="U500" i="5" s="1"/>
  <c r="U501" i="5" s="1"/>
  <c r="U502" i="5" s="1"/>
  <c r="U503" i="5" s="1"/>
  <c r="U504" i="5" s="1"/>
  <c r="U505" i="5" s="1"/>
  <c r="U506" i="5" s="1"/>
  <c r="U507" i="5" s="1"/>
  <c r="O57" i="5"/>
  <c r="I57" i="5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C57" i="5"/>
  <c r="W56" i="5"/>
  <c r="K56" i="5"/>
  <c r="C19" i="5"/>
  <c r="C20" i="5" s="1"/>
  <c r="F15" i="5"/>
  <c r="C14" i="5"/>
  <c r="E56" i="5" s="1"/>
  <c r="F11" i="5"/>
  <c r="E11" i="5"/>
  <c r="D11" i="5"/>
  <c r="C11" i="5"/>
  <c r="I10" i="5"/>
  <c r="K9" i="5"/>
  <c r="J9" i="5"/>
  <c r="I9" i="5"/>
  <c r="U57" i="4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89" i="4" s="1"/>
  <c r="U90" i="4" s="1"/>
  <c r="U91" i="4" s="1"/>
  <c r="U92" i="4" s="1"/>
  <c r="U93" i="4" s="1"/>
  <c r="U94" i="4" s="1"/>
  <c r="U95" i="4" s="1"/>
  <c r="U96" i="4" s="1"/>
  <c r="U97" i="4" s="1"/>
  <c r="U98" i="4" s="1"/>
  <c r="U99" i="4" s="1"/>
  <c r="U100" i="4" s="1"/>
  <c r="U101" i="4" s="1"/>
  <c r="U102" i="4" s="1"/>
  <c r="U103" i="4" s="1"/>
  <c r="U104" i="4" s="1"/>
  <c r="U105" i="4" s="1"/>
  <c r="U106" i="4" s="1"/>
  <c r="U107" i="4" s="1"/>
  <c r="U108" i="4" s="1"/>
  <c r="U109" i="4" s="1"/>
  <c r="U110" i="4" s="1"/>
  <c r="U111" i="4" s="1"/>
  <c r="U112" i="4" s="1"/>
  <c r="U113" i="4" s="1"/>
  <c r="U114" i="4" s="1"/>
  <c r="U115" i="4" s="1"/>
  <c r="U116" i="4" s="1"/>
  <c r="U117" i="4" s="1"/>
  <c r="U118" i="4" s="1"/>
  <c r="U119" i="4" s="1"/>
  <c r="U120" i="4" s="1"/>
  <c r="U121" i="4" s="1"/>
  <c r="U122" i="4" s="1"/>
  <c r="U123" i="4" s="1"/>
  <c r="U124" i="4" s="1"/>
  <c r="U125" i="4" s="1"/>
  <c r="U126" i="4" s="1"/>
  <c r="U127" i="4" s="1"/>
  <c r="U128" i="4" s="1"/>
  <c r="U129" i="4" s="1"/>
  <c r="U130" i="4" s="1"/>
  <c r="U131" i="4" s="1"/>
  <c r="U132" i="4" s="1"/>
  <c r="U133" i="4" s="1"/>
  <c r="U134" i="4" s="1"/>
  <c r="U135" i="4" s="1"/>
  <c r="U136" i="4" s="1"/>
  <c r="U137" i="4" s="1"/>
  <c r="U138" i="4" s="1"/>
  <c r="U139" i="4" s="1"/>
  <c r="U140" i="4" s="1"/>
  <c r="U141" i="4" s="1"/>
  <c r="U142" i="4" s="1"/>
  <c r="U143" i="4" s="1"/>
  <c r="U144" i="4" s="1"/>
  <c r="U145" i="4" s="1"/>
  <c r="U146" i="4" s="1"/>
  <c r="U147" i="4" s="1"/>
  <c r="U148" i="4" s="1"/>
  <c r="U149" i="4" s="1"/>
  <c r="U150" i="4" s="1"/>
  <c r="U151" i="4" s="1"/>
  <c r="U152" i="4" s="1"/>
  <c r="U153" i="4" s="1"/>
  <c r="U154" i="4" s="1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65" i="4" s="1"/>
  <c r="U166" i="4" s="1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77" i="4" s="1"/>
  <c r="U178" i="4" s="1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89" i="4" s="1"/>
  <c r="U190" i="4" s="1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U201" i="4" s="1"/>
  <c r="U202" i="4" s="1"/>
  <c r="U203" i="4" s="1"/>
  <c r="U204" i="4" s="1"/>
  <c r="U205" i="4" s="1"/>
  <c r="U206" i="4" s="1"/>
  <c r="U207" i="4" s="1"/>
  <c r="U208" i="4" s="1"/>
  <c r="U209" i="4" s="1"/>
  <c r="U210" i="4" s="1"/>
  <c r="U211" i="4" s="1"/>
  <c r="U212" i="4" s="1"/>
  <c r="U213" i="4" s="1"/>
  <c r="U214" i="4" s="1"/>
  <c r="U215" i="4" s="1"/>
  <c r="U216" i="4" s="1"/>
  <c r="U217" i="4" s="1"/>
  <c r="U218" i="4" s="1"/>
  <c r="U219" i="4" s="1"/>
  <c r="U220" i="4" s="1"/>
  <c r="U221" i="4" s="1"/>
  <c r="U222" i="4" s="1"/>
  <c r="U223" i="4" s="1"/>
  <c r="U224" i="4" s="1"/>
  <c r="U225" i="4" s="1"/>
  <c r="U226" i="4" s="1"/>
  <c r="U227" i="4" s="1"/>
  <c r="U228" i="4" s="1"/>
  <c r="U229" i="4" s="1"/>
  <c r="U230" i="4" s="1"/>
  <c r="U231" i="4" s="1"/>
  <c r="U232" i="4" s="1"/>
  <c r="U233" i="4" s="1"/>
  <c r="U234" i="4" s="1"/>
  <c r="U235" i="4" s="1"/>
  <c r="U236" i="4" s="1"/>
  <c r="U237" i="4" s="1"/>
  <c r="U238" i="4" s="1"/>
  <c r="U239" i="4" s="1"/>
  <c r="U240" i="4" s="1"/>
  <c r="U241" i="4" s="1"/>
  <c r="U242" i="4" s="1"/>
  <c r="U243" i="4" s="1"/>
  <c r="U244" i="4" s="1"/>
  <c r="U245" i="4" s="1"/>
  <c r="U246" i="4" s="1"/>
  <c r="U247" i="4" s="1"/>
  <c r="U248" i="4" s="1"/>
  <c r="U249" i="4" s="1"/>
  <c r="U250" i="4" s="1"/>
  <c r="U251" i="4" s="1"/>
  <c r="U252" i="4" s="1"/>
  <c r="U253" i="4" s="1"/>
  <c r="U254" i="4" s="1"/>
  <c r="U255" i="4" s="1"/>
  <c r="U256" i="4" s="1"/>
  <c r="U257" i="4" s="1"/>
  <c r="U258" i="4" s="1"/>
  <c r="U259" i="4" s="1"/>
  <c r="U260" i="4" s="1"/>
  <c r="U261" i="4" s="1"/>
  <c r="U262" i="4" s="1"/>
  <c r="U263" i="4" s="1"/>
  <c r="U264" i="4" s="1"/>
  <c r="U265" i="4" s="1"/>
  <c r="U266" i="4" s="1"/>
  <c r="U267" i="4" s="1"/>
  <c r="U268" i="4" s="1"/>
  <c r="U269" i="4" s="1"/>
  <c r="U270" i="4" s="1"/>
  <c r="U271" i="4" s="1"/>
  <c r="U272" i="4" s="1"/>
  <c r="U273" i="4" s="1"/>
  <c r="U274" i="4" s="1"/>
  <c r="U275" i="4" s="1"/>
  <c r="U276" i="4" s="1"/>
  <c r="U277" i="4" s="1"/>
  <c r="U278" i="4" s="1"/>
  <c r="U279" i="4" s="1"/>
  <c r="U280" i="4" s="1"/>
  <c r="U281" i="4" s="1"/>
  <c r="U282" i="4" s="1"/>
  <c r="U283" i="4" s="1"/>
  <c r="U284" i="4" s="1"/>
  <c r="U285" i="4" s="1"/>
  <c r="U286" i="4" s="1"/>
  <c r="U287" i="4" s="1"/>
  <c r="U288" i="4" s="1"/>
  <c r="U289" i="4" s="1"/>
  <c r="U290" i="4" s="1"/>
  <c r="U291" i="4" s="1"/>
  <c r="U292" i="4" s="1"/>
  <c r="U293" i="4" s="1"/>
  <c r="U294" i="4" s="1"/>
  <c r="U295" i="4" s="1"/>
  <c r="U296" i="4" s="1"/>
  <c r="U297" i="4" s="1"/>
  <c r="U298" i="4" s="1"/>
  <c r="U299" i="4" s="1"/>
  <c r="U300" i="4" s="1"/>
  <c r="U301" i="4" s="1"/>
  <c r="U302" i="4" s="1"/>
  <c r="U303" i="4" s="1"/>
  <c r="U304" i="4" s="1"/>
  <c r="U305" i="4" s="1"/>
  <c r="U306" i="4" s="1"/>
  <c r="U307" i="4" s="1"/>
  <c r="U308" i="4" s="1"/>
  <c r="U309" i="4" s="1"/>
  <c r="U310" i="4" s="1"/>
  <c r="U311" i="4" s="1"/>
  <c r="U312" i="4" s="1"/>
  <c r="U313" i="4" s="1"/>
  <c r="U314" i="4" s="1"/>
  <c r="U315" i="4" s="1"/>
  <c r="U316" i="4" s="1"/>
  <c r="U317" i="4" s="1"/>
  <c r="U318" i="4" s="1"/>
  <c r="U319" i="4" s="1"/>
  <c r="U320" i="4" s="1"/>
  <c r="U321" i="4" s="1"/>
  <c r="U322" i="4" s="1"/>
  <c r="U323" i="4" s="1"/>
  <c r="U324" i="4" s="1"/>
  <c r="U325" i="4" s="1"/>
  <c r="U326" i="4" s="1"/>
  <c r="U327" i="4" s="1"/>
  <c r="U328" i="4" s="1"/>
  <c r="U329" i="4" s="1"/>
  <c r="U330" i="4" s="1"/>
  <c r="U331" i="4" s="1"/>
  <c r="U332" i="4" s="1"/>
  <c r="U333" i="4" s="1"/>
  <c r="U334" i="4" s="1"/>
  <c r="U335" i="4" s="1"/>
  <c r="U336" i="4" s="1"/>
  <c r="U337" i="4" s="1"/>
  <c r="U338" i="4" s="1"/>
  <c r="U339" i="4" s="1"/>
  <c r="U340" i="4" s="1"/>
  <c r="U341" i="4" s="1"/>
  <c r="U342" i="4" s="1"/>
  <c r="U343" i="4" s="1"/>
  <c r="U344" i="4" s="1"/>
  <c r="U345" i="4" s="1"/>
  <c r="U346" i="4" s="1"/>
  <c r="U347" i="4" s="1"/>
  <c r="U348" i="4" s="1"/>
  <c r="U349" i="4" s="1"/>
  <c r="U350" i="4" s="1"/>
  <c r="U351" i="4" s="1"/>
  <c r="U352" i="4" s="1"/>
  <c r="U353" i="4" s="1"/>
  <c r="U354" i="4" s="1"/>
  <c r="U355" i="4" s="1"/>
  <c r="U356" i="4" s="1"/>
  <c r="U357" i="4" s="1"/>
  <c r="U358" i="4" s="1"/>
  <c r="U359" i="4" s="1"/>
  <c r="U360" i="4" s="1"/>
  <c r="U361" i="4" s="1"/>
  <c r="U362" i="4" s="1"/>
  <c r="U363" i="4" s="1"/>
  <c r="U364" i="4" s="1"/>
  <c r="U365" i="4" s="1"/>
  <c r="U366" i="4" s="1"/>
  <c r="U367" i="4" s="1"/>
  <c r="U368" i="4" s="1"/>
  <c r="U369" i="4" s="1"/>
  <c r="U370" i="4" s="1"/>
  <c r="U371" i="4" s="1"/>
  <c r="U372" i="4" s="1"/>
  <c r="U373" i="4" s="1"/>
  <c r="U374" i="4" s="1"/>
  <c r="U375" i="4" s="1"/>
  <c r="U376" i="4" s="1"/>
  <c r="U377" i="4" s="1"/>
  <c r="U378" i="4" s="1"/>
  <c r="U379" i="4" s="1"/>
  <c r="U380" i="4" s="1"/>
  <c r="U381" i="4" s="1"/>
  <c r="U382" i="4" s="1"/>
  <c r="U383" i="4" s="1"/>
  <c r="U384" i="4" s="1"/>
  <c r="U385" i="4" s="1"/>
  <c r="U386" i="4" s="1"/>
  <c r="U387" i="4" s="1"/>
  <c r="U388" i="4" s="1"/>
  <c r="U389" i="4" s="1"/>
  <c r="U390" i="4" s="1"/>
  <c r="U391" i="4" s="1"/>
  <c r="U392" i="4" s="1"/>
  <c r="U393" i="4" s="1"/>
  <c r="U394" i="4" s="1"/>
  <c r="U395" i="4" s="1"/>
  <c r="U396" i="4" s="1"/>
  <c r="U397" i="4" s="1"/>
  <c r="U398" i="4" s="1"/>
  <c r="U399" i="4" s="1"/>
  <c r="U400" i="4" s="1"/>
  <c r="U401" i="4" s="1"/>
  <c r="U402" i="4" s="1"/>
  <c r="U403" i="4" s="1"/>
  <c r="U404" i="4" s="1"/>
  <c r="U405" i="4" s="1"/>
  <c r="U406" i="4" s="1"/>
  <c r="U407" i="4" s="1"/>
  <c r="U408" i="4" s="1"/>
  <c r="U409" i="4" s="1"/>
  <c r="U410" i="4" s="1"/>
  <c r="U411" i="4" s="1"/>
  <c r="U412" i="4" s="1"/>
  <c r="U413" i="4" s="1"/>
  <c r="U414" i="4" s="1"/>
  <c r="U415" i="4" s="1"/>
  <c r="U416" i="4" s="1"/>
  <c r="U417" i="4" s="1"/>
  <c r="U418" i="4" s="1"/>
  <c r="U419" i="4" s="1"/>
  <c r="U420" i="4" s="1"/>
  <c r="U421" i="4" s="1"/>
  <c r="U422" i="4" s="1"/>
  <c r="U423" i="4" s="1"/>
  <c r="U424" i="4" s="1"/>
  <c r="U425" i="4" s="1"/>
  <c r="U426" i="4" s="1"/>
  <c r="U427" i="4" s="1"/>
  <c r="U428" i="4" s="1"/>
  <c r="U429" i="4" s="1"/>
  <c r="U430" i="4" s="1"/>
  <c r="U431" i="4" s="1"/>
  <c r="U432" i="4" s="1"/>
  <c r="U433" i="4" s="1"/>
  <c r="U434" i="4" s="1"/>
  <c r="U435" i="4" s="1"/>
  <c r="U436" i="4" s="1"/>
  <c r="U437" i="4" s="1"/>
  <c r="U438" i="4" s="1"/>
  <c r="U439" i="4" s="1"/>
  <c r="U440" i="4" s="1"/>
  <c r="U441" i="4" s="1"/>
  <c r="U442" i="4" s="1"/>
  <c r="U443" i="4" s="1"/>
  <c r="U444" i="4" s="1"/>
  <c r="U445" i="4" s="1"/>
  <c r="U446" i="4" s="1"/>
  <c r="U447" i="4" s="1"/>
  <c r="U448" i="4" s="1"/>
  <c r="U449" i="4" s="1"/>
  <c r="U450" i="4" s="1"/>
  <c r="U451" i="4" s="1"/>
  <c r="U452" i="4" s="1"/>
  <c r="U453" i="4" s="1"/>
  <c r="U454" i="4" s="1"/>
  <c r="U455" i="4" s="1"/>
  <c r="U456" i="4" s="1"/>
  <c r="U457" i="4" s="1"/>
  <c r="U458" i="4" s="1"/>
  <c r="U459" i="4" s="1"/>
  <c r="U460" i="4" s="1"/>
  <c r="U461" i="4" s="1"/>
  <c r="U462" i="4" s="1"/>
  <c r="U463" i="4" s="1"/>
  <c r="U464" i="4" s="1"/>
  <c r="U465" i="4" s="1"/>
  <c r="U466" i="4" s="1"/>
  <c r="U467" i="4" s="1"/>
  <c r="U468" i="4" s="1"/>
  <c r="U469" i="4" s="1"/>
  <c r="U470" i="4" s="1"/>
  <c r="U471" i="4" s="1"/>
  <c r="U472" i="4" s="1"/>
  <c r="U473" i="4" s="1"/>
  <c r="U474" i="4" s="1"/>
  <c r="U475" i="4" s="1"/>
  <c r="U476" i="4" s="1"/>
  <c r="U477" i="4" s="1"/>
  <c r="U478" i="4" s="1"/>
  <c r="U479" i="4" s="1"/>
  <c r="U480" i="4" s="1"/>
  <c r="U481" i="4" s="1"/>
  <c r="U482" i="4" s="1"/>
  <c r="U483" i="4" s="1"/>
  <c r="U484" i="4" s="1"/>
  <c r="U485" i="4" s="1"/>
  <c r="U486" i="4" s="1"/>
  <c r="U487" i="4" s="1"/>
  <c r="U488" i="4" s="1"/>
  <c r="U489" i="4" s="1"/>
  <c r="U490" i="4" s="1"/>
  <c r="U491" i="4" s="1"/>
  <c r="U492" i="4" s="1"/>
  <c r="U493" i="4" s="1"/>
  <c r="U494" i="4" s="1"/>
  <c r="U495" i="4" s="1"/>
  <c r="U496" i="4" s="1"/>
  <c r="U497" i="4" s="1"/>
  <c r="U498" i="4" s="1"/>
  <c r="U499" i="4" s="1"/>
  <c r="U500" i="4" s="1"/>
  <c r="U501" i="4" s="1"/>
  <c r="U502" i="4" s="1"/>
  <c r="U503" i="4" s="1"/>
  <c r="U504" i="4" s="1"/>
  <c r="U505" i="4" s="1"/>
  <c r="U506" i="4" s="1"/>
  <c r="U507" i="4" s="1"/>
  <c r="O57" i="4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O110" i="4" s="1"/>
  <c r="O111" i="4" s="1"/>
  <c r="O112" i="4" s="1"/>
  <c r="O113" i="4" s="1"/>
  <c r="O114" i="4" s="1"/>
  <c r="O115" i="4" s="1"/>
  <c r="O116" i="4" s="1"/>
  <c r="O117" i="4" s="1"/>
  <c r="O118" i="4" s="1"/>
  <c r="O119" i="4" s="1"/>
  <c r="O120" i="4" s="1"/>
  <c r="O121" i="4" s="1"/>
  <c r="O122" i="4" s="1"/>
  <c r="O123" i="4" s="1"/>
  <c r="O124" i="4" s="1"/>
  <c r="O125" i="4" s="1"/>
  <c r="O126" i="4" s="1"/>
  <c r="O127" i="4" s="1"/>
  <c r="O128" i="4" s="1"/>
  <c r="O129" i="4" s="1"/>
  <c r="O130" i="4" s="1"/>
  <c r="O131" i="4" s="1"/>
  <c r="O132" i="4" s="1"/>
  <c r="O133" i="4" s="1"/>
  <c r="O134" i="4" s="1"/>
  <c r="O135" i="4" s="1"/>
  <c r="O136" i="4" s="1"/>
  <c r="O137" i="4" s="1"/>
  <c r="O138" i="4" s="1"/>
  <c r="O139" i="4" s="1"/>
  <c r="O140" i="4" s="1"/>
  <c r="O141" i="4" s="1"/>
  <c r="O142" i="4" s="1"/>
  <c r="O143" i="4" s="1"/>
  <c r="O144" i="4" s="1"/>
  <c r="O145" i="4" s="1"/>
  <c r="O146" i="4" s="1"/>
  <c r="O147" i="4" s="1"/>
  <c r="O148" i="4" s="1"/>
  <c r="O149" i="4" s="1"/>
  <c r="O150" i="4" s="1"/>
  <c r="O151" i="4" s="1"/>
  <c r="O152" i="4" s="1"/>
  <c r="O153" i="4" s="1"/>
  <c r="O154" i="4" s="1"/>
  <c r="O155" i="4" s="1"/>
  <c r="O156" i="4" s="1"/>
  <c r="O157" i="4" s="1"/>
  <c r="O158" i="4" s="1"/>
  <c r="O159" i="4" s="1"/>
  <c r="O160" i="4" s="1"/>
  <c r="O161" i="4" s="1"/>
  <c r="O162" i="4" s="1"/>
  <c r="O163" i="4" s="1"/>
  <c r="O164" i="4" s="1"/>
  <c r="O165" i="4" s="1"/>
  <c r="O166" i="4" s="1"/>
  <c r="O167" i="4" s="1"/>
  <c r="O168" i="4" s="1"/>
  <c r="O169" i="4" s="1"/>
  <c r="O170" i="4" s="1"/>
  <c r="O171" i="4" s="1"/>
  <c r="O172" i="4" s="1"/>
  <c r="O173" i="4" s="1"/>
  <c r="O174" i="4" s="1"/>
  <c r="O175" i="4" s="1"/>
  <c r="I57" i="4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K9" i="4"/>
  <c r="J9" i="4"/>
  <c r="I9" i="4"/>
  <c r="I10" i="4" s="1"/>
  <c r="C57" i="4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F11" i="4"/>
  <c r="E11" i="4"/>
  <c r="D11" i="4"/>
  <c r="C11" i="4"/>
  <c r="J9" i="3"/>
  <c r="E9" i="3"/>
  <c r="J8" i="3"/>
  <c r="J7" i="3"/>
  <c r="E7" i="3"/>
  <c r="E13" i="3" s="1"/>
  <c r="J6" i="3"/>
  <c r="J5" i="3"/>
  <c r="O4" i="3" s="1"/>
  <c r="W57" i="5" l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W77" i="5" s="1"/>
  <c r="W78" i="5" s="1"/>
  <c r="W79" i="5" s="1"/>
  <c r="W80" i="5" s="1"/>
  <c r="W81" i="5" s="1"/>
  <c r="W82" i="5" s="1"/>
  <c r="W83" i="5" s="1"/>
  <c r="W84" i="5" s="1"/>
  <c r="W85" i="5" s="1"/>
  <c r="W86" i="5" s="1"/>
  <c r="W87" i="5" s="1"/>
  <c r="W88" i="5" s="1"/>
  <c r="W89" i="5" s="1"/>
  <c r="W90" i="5" s="1"/>
  <c r="W91" i="5" s="1"/>
  <c r="W92" i="5" s="1"/>
  <c r="W93" i="5" s="1"/>
  <c r="W94" i="5" s="1"/>
  <c r="W95" i="5" s="1"/>
  <c r="W96" i="5" s="1"/>
  <c r="W97" i="5" s="1"/>
  <c r="W98" i="5" s="1"/>
  <c r="W99" i="5" s="1"/>
  <c r="W100" i="5" s="1"/>
  <c r="W101" i="5" s="1"/>
  <c r="W102" i="5" s="1"/>
  <c r="W103" i="5" s="1"/>
  <c r="W104" i="5" s="1"/>
  <c r="W105" i="5" s="1"/>
  <c r="W106" i="5" s="1"/>
  <c r="W107" i="5" s="1"/>
  <c r="W108" i="5" s="1"/>
  <c r="W109" i="5" s="1"/>
  <c r="W110" i="5" s="1"/>
  <c r="W111" i="5" s="1"/>
  <c r="W112" i="5" s="1"/>
  <c r="W113" i="5" s="1"/>
  <c r="W114" i="5" s="1"/>
  <c r="W115" i="5" s="1"/>
  <c r="W116" i="5" s="1"/>
  <c r="W117" i="5" s="1"/>
  <c r="W118" i="5" s="1"/>
  <c r="W119" i="5" s="1"/>
  <c r="W120" i="5" s="1"/>
  <c r="W121" i="5" s="1"/>
  <c r="W122" i="5" s="1"/>
  <c r="W123" i="5" s="1"/>
  <c r="W124" i="5" s="1"/>
  <c r="W125" i="5" s="1"/>
  <c r="W126" i="5" s="1"/>
  <c r="W127" i="5" s="1"/>
  <c r="W128" i="5" s="1"/>
  <c r="W129" i="5" s="1"/>
  <c r="W130" i="5" s="1"/>
  <c r="W131" i="5" s="1"/>
  <c r="W132" i="5" s="1"/>
  <c r="W133" i="5" s="1"/>
  <c r="W134" i="5" s="1"/>
  <c r="W135" i="5" s="1"/>
  <c r="W136" i="5" s="1"/>
  <c r="W137" i="5" s="1"/>
  <c r="W138" i="5" s="1"/>
  <c r="W139" i="5" s="1"/>
  <c r="W140" i="5" s="1"/>
  <c r="W141" i="5" s="1"/>
  <c r="W142" i="5" s="1"/>
  <c r="W143" i="5" s="1"/>
  <c r="W144" i="5" s="1"/>
  <c r="W145" i="5" s="1"/>
  <c r="W146" i="5" s="1"/>
  <c r="W147" i="5" s="1"/>
  <c r="W148" i="5" s="1"/>
  <c r="W149" i="5" s="1"/>
  <c r="W150" i="5" s="1"/>
  <c r="W151" i="5" s="1"/>
  <c r="W152" i="5" s="1"/>
  <c r="W153" i="5" s="1"/>
  <c r="W154" i="5" s="1"/>
  <c r="W155" i="5" s="1"/>
  <c r="W156" i="5" s="1"/>
  <c r="W157" i="5" s="1"/>
  <c r="W158" i="5" s="1"/>
  <c r="W159" i="5" s="1"/>
  <c r="W160" i="5" s="1"/>
  <c r="W161" i="5" s="1"/>
  <c r="W162" i="5" s="1"/>
  <c r="W163" i="5" s="1"/>
  <c r="W164" i="5" s="1"/>
  <c r="W165" i="5" s="1"/>
  <c r="W166" i="5" s="1"/>
  <c r="W167" i="5" s="1"/>
  <c r="W168" i="5" s="1"/>
  <c r="W169" i="5" s="1"/>
  <c r="W170" i="5" s="1"/>
  <c r="W171" i="5" s="1"/>
  <c r="W172" i="5" s="1"/>
  <c r="W173" i="5" s="1"/>
  <c r="W174" i="5" s="1"/>
  <c r="W175" i="5" s="1"/>
  <c r="W176" i="5" s="1"/>
  <c r="W177" i="5" s="1"/>
  <c r="W178" i="5" s="1"/>
  <c r="W179" i="5" s="1"/>
  <c r="W180" i="5" s="1"/>
  <c r="W181" i="5" s="1"/>
  <c r="W182" i="5" s="1"/>
  <c r="W183" i="5" s="1"/>
  <c r="W184" i="5" s="1"/>
  <c r="W185" i="5" s="1"/>
  <c r="W186" i="5" s="1"/>
  <c r="W187" i="5" s="1"/>
  <c r="W188" i="5" s="1"/>
  <c r="W189" i="5" s="1"/>
  <c r="W190" i="5" s="1"/>
  <c r="W191" i="5" s="1"/>
  <c r="W192" i="5" s="1"/>
  <c r="W193" i="5" s="1"/>
  <c r="W194" i="5" s="1"/>
  <c r="W195" i="5" s="1"/>
  <c r="W196" i="5" s="1"/>
  <c r="W197" i="5" s="1"/>
  <c r="W198" i="5" s="1"/>
  <c r="W199" i="5" s="1"/>
  <c r="W200" i="5" s="1"/>
  <c r="W201" i="5" s="1"/>
  <c r="W202" i="5" s="1"/>
  <c r="W203" i="5" s="1"/>
  <c r="W204" i="5" s="1"/>
  <c r="W205" i="5" s="1"/>
  <c r="W206" i="5" s="1"/>
  <c r="W207" i="5" s="1"/>
  <c r="W208" i="5" s="1"/>
  <c r="W209" i="5" s="1"/>
  <c r="W210" i="5" s="1"/>
  <c r="W211" i="5" s="1"/>
  <c r="W212" i="5" s="1"/>
  <c r="W213" i="5" s="1"/>
  <c r="W214" i="5" s="1"/>
  <c r="W215" i="5" s="1"/>
  <c r="W216" i="5" s="1"/>
  <c r="W217" i="5" s="1"/>
  <c r="W218" i="5" s="1"/>
  <c r="W219" i="5" s="1"/>
  <c r="W220" i="5" s="1"/>
  <c r="W221" i="5" s="1"/>
  <c r="W222" i="5" s="1"/>
  <c r="W223" i="5" s="1"/>
  <c r="W224" i="5" s="1"/>
  <c r="W225" i="5" s="1"/>
  <c r="W226" i="5" s="1"/>
  <c r="W227" i="5" s="1"/>
  <c r="W228" i="5" s="1"/>
  <c r="W229" i="5" s="1"/>
  <c r="W230" i="5" s="1"/>
  <c r="W231" i="5" s="1"/>
  <c r="W232" i="5" s="1"/>
  <c r="W233" i="5" s="1"/>
  <c r="W234" i="5" s="1"/>
  <c r="W235" i="5" s="1"/>
  <c r="W236" i="5" s="1"/>
  <c r="W237" i="5" s="1"/>
  <c r="W238" i="5" s="1"/>
  <c r="W239" i="5" s="1"/>
  <c r="W240" i="5" s="1"/>
  <c r="W241" i="5" s="1"/>
  <c r="W242" i="5" s="1"/>
  <c r="W243" i="5" s="1"/>
  <c r="W244" i="5" s="1"/>
  <c r="W245" i="5" s="1"/>
  <c r="W246" i="5" s="1"/>
  <c r="W247" i="5" s="1"/>
  <c r="W248" i="5" s="1"/>
  <c r="W249" i="5" s="1"/>
  <c r="W250" i="5" s="1"/>
  <c r="W251" i="5" s="1"/>
  <c r="W252" i="5" s="1"/>
  <c r="W253" i="5" s="1"/>
  <c r="W254" i="5" s="1"/>
  <c r="W255" i="5" s="1"/>
  <c r="W256" i="5" s="1"/>
  <c r="W257" i="5" s="1"/>
  <c r="W258" i="5" s="1"/>
  <c r="W259" i="5" s="1"/>
  <c r="W260" i="5" s="1"/>
  <c r="W261" i="5" s="1"/>
  <c r="W262" i="5" s="1"/>
  <c r="W263" i="5" s="1"/>
  <c r="W264" i="5" s="1"/>
  <c r="W265" i="5" s="1"/>
  <c r="W266" i="5" s="1"/>
  <c r="W267" i="5" s="1"/>
  <c r="W268" i="5" s="1"/>
  <c r="W269" i="5" s="1"/>
  <c r="W270" i="5" s="1"/>
  <c r="W271" i="5" s="1"/>
  <c r="W272" i="5" s="1"/>
  <c r="W273" i="5" s="1"/>
  <c r="W274" i="5" s="1"/>
  <c r="W275" i="5" s="1"/>
  <c r="W276" i="5" s="1"/>
  <c r="W277" i="5" s="1"/>
  <c r="W278" i="5" s="1"/>
  <c r="W279" i="5" s="1"/>
  <c r="W280" i="5" s="1"/>
  <c r="W281" i="5" s="1"/>
  <c r="W282" i="5" s="1"/>
  <c r="W283" i="5" s="1"/>
  <c r="W284" i="5" s="1"/>
  <c r="W285" i="5" s="1"/>
  <c r="W286" i="5" s="1"/>
  <c r="W287" i="5" s="1"/>
  <c r="W288" i="5" s="1"/>
  <c r="W289" i="5" s="1"/>
  <c r="W290" i="5" s="1"/>
  <c r="W291" i="5" s="1"/>
  <c r="W292" i="5" s="1"/>
  <c r="W293" i="5" s="1"/>
  <c r="W294" i="5" s="1"/>
  <c r="W295" i="5" s="1"/>
  <c r="W296" i="5" s="1"/>
  <c r="W297" i="5" s="1"/>
  <c r="W298" i="5" s="1"/>
  <c r="W299" i="5" s="1"/>
  <c r="W300" i="5" s="1"/>
  <c r="W301" i="5" s="1"/>
  <c r="W302" i="5" s="1"/>
  <c r="W303" i="5" s="1"/>
  <c r="W304" i="5" s="1"/>
  <c r="W305" i="5" s="1"/>
  <c r="W306" i="5" s="1"/>
  <c r="W307" i="5" s="1"/>
  <c r="W308" i="5" s="1"/>
  <c r="W309" i="5" s="1"/>
  <c r="W310" i="5" s="1"/>
  <c r="W311" i="5" s="1"/>
  <c r="W312" i="5" s="1"/>
  <c r="W313" i="5" s="1"/>
  <c r="W314" i="5" s="1"/>
  <c r="W315" i="5" s="1"/>
  <c r="W316" i="5" s="1"/>
  <c r="W317" i="5" s="1"/>
  <c r="W318" i="5" s="1"/>
  <c r="W319" i="5" s="1"/>
  <c r="W320" i="5" s="1"/>
  <c r="W321" i="5" s="1"/>
  <c r="W322" i="5" s="1"/>
  <c r="W323" i="5" s="1"/>
  <c r="W324" i="5" s="1"/>
  <c r="W325" i="5" s="1"/>
  <c r="W326" i="5" s="1"/>
  <c r="W327" i="5" s="1"/>
  <c r="W328" i="5" s="1"/>
  <c r="W329" i="5" s="1"/>
  <c r="W330" i="5" s="1"/>
  <c r="W331" i="5" s="1"/>
  <c r="W332" i="5" s="1"/>
  <c r="W333" i="5" s="1"/>
  <c r="W334" i="5" s="1"/>
  <c r="W335" i="5" s="1"/>
  <c r="W336" i="5" s="1"/>
  <c r="W337" i="5" s="1"/>
  <c r="W338" i="5" s="1"/>
  <c r="W339" i="5" s="1"/>
  <c r="W340" i="5" s="1"/>
  <c r="W341" i="5" s="1"/>
  <c r="W342" i="5" s="1"/>
  <c r="W343" i="5" s="1"/>
  <c r="W344" i="5" s="1"/>
  <c r="W345" i="5" s="1"/>
  <c r="W346" i="5" s="1"/>
  <c r="W347" i="5" s="1"/>
  <c r="W348" i="5" s="1"/>
  <c r="W349" i="5" s="1"/>
  <c r="W350" i="5" s="1"/>
  <c r="W351" i="5" s="1"/>
  <c r="W352" i="5" s="1"/>
  <c r="W353" i="5" s="1"/>
  <c r="W354" i="5" s="1"/>
  <c r="W355" i="5" s="1"/>
  <c r="W356" i="5" s="1"/>
  <c r="W357" i="5" s="1"/>
  <c r="W358" i="5" s="1"/>
  <c r="W359" i="5" s="1"/>
  <c r="W360" i="5" s="1"/>
  <c r="W361" i="5" s="1"/>
  <c r="W362" i="5" s="1"/>
  <c r="W363" i="5" s="1"/>
  <c r="W364" i="5" s="1"/>
  <c r="W365" i="5" s="1"/>
  <c r="W366" i="5" s="1"/>
  <c r="W367" i="5" s="1"/>
  <c r="W368" i="5" s="1"/>
  <c r="W369" i="5" s="1"/>
  <c r="W370" i="5" s="1"/>
  <c r="W371" i="5" s="1"/>
  <c r="W372" i="5" s="1"/>
  <c r="W373" i="5" s="1"/>
  <c r="W374" i="5" s="1"/>
  <c r="W375" i="5" s="1"/>
  <c r="W376" i="5" s="1"/>
  <c r="W377" i="5" s="1"/>
  <c r="W378" i="5" s="1"/>
  <c r="W379" i="5" s="1"/>
  <c r="W380" i="5" s="1"/>
  <c r="W381" i="5" s="1"/>
  <c r="W382" i="5" s="1"/>
  <c r="W383" i="5" s="1"/>
  <c r="W384" i="5" s="1"/>
  <c r="W385" i="5" s="1"/>
  <c r="W386" i="5" s="1"/>
  <c r="W387" i="5" s="1"/>
  <c r="W388" i="5" s="1"/>
  <c r="W389" i="5" s="1"/>
  <c r="W390" i="5" s="1"/>
  <c r="W391" i="5" s="1"/>
  <c r="W392" i="5" s="1"/>
  <c r="W393" i="5" s="1"/>
  <c r="W394" i="5" s="1"/>
  <c r="W395" i="5" s="1"/>
  <c r="W396" i="5" s="1"/>
  <c r="W397" i="5" s="1"/>
  <c r="W398" i="5" s="1"/>
  <c r="W399" i="5" s="1"/>
  <c r="W400" i="5" s="1"/>
  <c r="W401" i="5" s="1"/>
  <c r="W402" i="5" s="1"/>
  <c r="W403" i="5" s="1"/>
  <c r="W404" i="5" s="1"/>
  <c r="W405" i="5" s="1"/>
  <c r="W406" i="5" s="1"/>
  <c r="W407" i="5" s="1"/>
  <c r="W408" i="5" s="1"/>
  <c r="W409" i="5" s="1"/>
  <c r="W410" i="5" s="1"/>
  <c r="W411" i="5" s="1"/>
  <c r="W412" i="5" s="1"/>
  <c r="W413" i="5" s="1"/>
  <c r="W414" i="5" s="1"/>
  <c r="W415" i="5" s="1"/>
  <c r="W416" i="5" s="1"/>
  <c r="W417" i="5" s="1"/>
  <c r="W418" i="5" s="1"/>
  <c r="W419" i="5" s="1"/>
  <c r="W420" i="5" s="1"/>
  <c r="W421" i="5" s="1"/>
  <c r="W422" i="5" s="1"/>
  <c r="W423" i="5" s="1"/>
  <c r="W424" i="5" s="1"/>
  <c r="W425" i="5" s="1"/>
  <c r="W426" i="5" s="1"/>
  <c r="W427" i="5" s="1"/>
  <c r="W428" i="5" s="1"/>
  <c r="W429" i="5" s="1"/>
  <c r="W430" i="5" s="1"/>
  <c r="W431" i="5" s="1"/>
  <c r="W432" i="5" s="1"/>
  <c r="W433" i="5" s="1"/>
  <c r="W434" i="5" s="1"/>
  <c r="W435" i="5" s="1"/>
  <c r="W436" i="5" s="1"/>
  <c r="W437" i="5" s="1"/>
  <c r="W438" i="5" s="1"/>
  <c r="W439" i="5" s="1"/>
  <c r="W440" i="5" s="1"/>
  <c r="W441" i="5" s="1"/>
  <c r="W442" i="5" s="1"/>
  <c r="W443" i="5" s="1"/>
  <c r="W444" i="5" s="1"/>
  <c r="W445" i="5" s="1"/>
  <c r="W446" i="5" s="1"/>
  <c r="W447" i="5" s="1"/>
  <c r="W448" i="5" s="1"/>
  <c r="W449" i="5" s="1"/>
  <c r="W450" i="5" s="1"/>
  <c r="W451" i="5" s="1"/>
  <c r="W452" i="5" s="1"/>
  <c r="W453" i="5" s="1"/>
  <c r="W454" i="5" s="1"/>
  <c r="W455" i="5" s="1"/>
  <c r="W456" i="5" s="1"/>
  <c r="W457" i="5" s="1"/>
  <c r="W458" i="5" s="1"/>
  <c r="W459" i="5" s="1"/>
  <c r="W460" i="5" s="1"/>
  <c r="W461" i="5" s="1"/>
  <c r="W462" i="5" s="1"/>
  <c r="W463" i="5" s="1"/>
  <c r="W464" i="5" s="1"/>
  <c r="W465" i="5" s="1"/>
  <c r="W466" i="5" s="1"/>
  <c r="W467" i="5" s="1"/>
  <c r="W468" i="5" s="1"/>
  <c r="W469" i="5" s="1"/>
  <c r="W470" i="5" s="1"/>
  <c r="W471" i="5" s="1"/>
  <c r="W472" i="5" s="1"/>
  <c r="W473" i="5" s="1"/>
  <c r="W474" i="5" s="1"/>
  <c r="W475" i="5" s="1"/>
  <c r="W476" i="5" s="1"/>
  <c r="W477" i="5" s="1"/>
  <c r="W478" i="5" s="1"/>
  <c r="W479" i="5" s="1"/>
  <c r="W480" i="5" s="1"/>
  <c r="W481" i="5" s="1"/>
  <c r="W482" i="5" s="1"/>
  <c r="W483" i="5" s="1"/>
  <c r="W484" i="5" s="1"/>
  <c r="W485" i="5" s="1"/>
  <c r="W486" i="5" s="1"/>
  <c r="W487" i="5" s="1"/>
  <c r="W488" i="5" s="1"/>
  <c r="W489" i="5" s="1"/>
  <c r="W490" i="5" s="1"/>
  <c r="W491" i="5" s="1"/>
  <c r="W492" i="5" s="1"/>
  <c r="W493" i="5" s="1"/>
  <c r="W494" i="5" s="1"/>
  <c r="W495" i="5" s="1"/>
  <c r="W496" i="5" s="1"/>
  <c r="W497" i="5" s="1"/>
  <c r="W498" i="5" s="1"/>
  <c r="W499" i="5" s="1"/>
  <c r="W500" i="5" s="1"/>
  <c r="W501" i="5" s="1"/>
  <c r="W502" i="5" s="1"/>
  <c r="W503" i="5" s="1"/>
  <c r="W504" i="5" s="1"/>
  <c r="W505" i="5" s="1"/>
  <c r="W506" i="5" s="1"/>
  <c r="W507" i="5" s="1"/>
  <c r="K57" i="5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C21" i="5"/>
  <c r="E20" i="5"/>
  <c r="E57" i="5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Q56" i="5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Q90" i="5" s="1"/>
  <c r="Q91" i="5" s="1"/>
  <c r="Q92" i="5" s="1"/>
  <c r="Q93" i="5" s="1"/>
  <c r="Q94" i="5" s="1"/>
  <c r="Q95" i="5" s="1"/>
  <c r="Q96" i="5" s="1"/>
  <c r="Q97" i="5" s="1"/>
  <c r="Q98" i="5" s="1"/>
  <c r="Q99" i="5" s="1"/>
  <c r="Q100" i="5" s="1"/>
  <c r="Q101" i="5" s="1"/>
  <c r="Q102" i="5" s="1"/>
  <c r="Q103" i="5" s="1"/>
  <c r="Q104" i="5" s="1"/>
  <c r="Q105" i="5" s="1"/>
  <c r="Q106" i="5" s="1"/>
  <c r="Q107" i="5" s="1"/>
  <c r="Q108" i="5" s="1"/>
  <c r="Q109" i="5" s="1"/>
  <c r="Q110" i="5" s="1"/>
  <c r="Q111" i="5" s="1"/>
  <c r="Q112" i="5" s="1"/>
  <c r="Q113" i="5" s="1"/>
  <c r="Q114" i="5" s="1"/>
  <c r="Q115" i="5" s="1"/>
  <c r="Q116" i="5" s="1"/>
  <c r="Q117" i="5" s="1"/>
  <c r="Q118" i="5" s="1"/>
  <c r="Q119" i="5" s="1"/>
  <c r="Q120" i="5" s="1"/>
  <c r="Q121" i="5" s="1"/>
  <c r="Q122" i="5" s="1"/>
  <c r="Q123" i="5" s="1"/>
  <c r="Q124" i="5" s="1"/>
  <c r="Q125" i="5" s="1"/>
  <c r="Q126" i="5" s="1"/>
  <c r="Q127" i="5" s="1"/>
  <c r="Q128" i="5" s="1"/>
  <c r="Q129" i="5" s="1"/>
  <c r="Q130" i="5" s="1"/>
  <c r="Q131" i="5" s="1"/>
  <c r="Q132" i="5" s="1"/>
  <c r="Q133" i="5" s="1"/>
  <c r="Q134" i="5" s="1"/>
  <c r="Q135" i="5" s="1"/>
  <c r="Q136" i="5" s="1"/>
  <c r="Q137" i="5" s="1"/>
  <c r="Q138" i="5" s="1"/>
  <c r="Q139" i="5" s="1"/>
  <c r="Q140" i="5" s="1"/>
  <c r="Q141" i="5" s="1"/>
  <c r="Q142" i="5" s="1"/>
  <c r="Q143" i="5" s="1"/>
  <c r="Q144" i="5" s="1"/>
  <c r="Q145" i="5" s="1"/>
  <c r="Q146" i="5" s="1"/>
  <c r="Q147" i="5" s="1"/>
  <c r="Q148" i="5" s="1"/>
  <c r="Q149" i="5" s="1"/>
  <c r="Q150" i="5" s="1"/>
  <c r="Q151" i="5" s="1"/>
  <c r="Q152" i="5" s="1"/>
  <c r="Q153" i="5" s="1"/>
  <c r="Q154" i="5" s="1"/>
  <c r="Q155" i="5" s="1"/>
  <c r="Q156" i="5" s="1"/>
  <c r="Q157" i="5" s="1"/>
  <c r="Q158" i="5" s="1"/>
  <c r="Q159" i="5" s="1"/>
  <c r="Q160" i="5" s="1"/>
  <c r="Q161" i="5" s="1"/>
  <c r="Q162" i="5" s="1"/>
  <c r="Q163" i="5" s="1"/>
  <c r="Q164" i="5" s="1"/>
  <c r="Q165" i="5" s="1"/>
  <c r="Q166" i="5" s="1"/>
  <c r="Q167" i="5" s="1"/>
  <c r="Q168" i="5" s="1"/>
  <c r="Q169" i="5" s="1"/>
  <c r="Q170" i="5" s="1"/>
  <c r="Q171" i="5" s="1"/>
  <c r="Q172" i="5" s="1"/>
  <c r="Q173" i="5" s="1"/>
  <c r="Q174" i="5" s="1"/>
  <c r="Q175" i="5" s="1"/>
  <c r="E19" i="5"/>
  <c r="C19" i="4"/>
  <c r="E19" i="4" s="1"/>
  <c r="W56" i="4"/>
  <c r="F14" i="4"/>
  <c r="F15" i="4" s="1"/>
  <c r="Q56" i="4"/>
  <c r="E17" i="3"/>
  <c r="L9" i="3"/>
  <c r="C20" i="4" l="1"/>
  <c r="C21" i="4" s="1"/>
  <c r="K69" i="4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C22" i="5"/>
  <c r="E21" i="5"/>
  <c r="G19" i="5"/>
  <c r="Q57" i="4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W57" i="4"/>
  <c r="W58" i="4" s="1"/>
  <c r="W59" i="4" s="1"/>
  <c r="W60" i="4" s="1"/>
  <c r="W61" i="4" s="1"/>
  <c r="W62" i="4" s="1"/>
  <c r="W63" i="4" s="1"/>
  <c r="W64" i="4" s="1"/>
  <c r="W65" i="4" s="1"/>
  <c r="W66" i="4" s="1"/>
  <c r="W67" i="4" s="1"/>
  <c r="W68" i="4" s="1"/>
  <c r="W69" i="4" s="1"/>
  <c r="W70" i="4" s="1"/>
  <c r="W71" i="4" s="1"/>
  <c r="W72" i="4" s="1"/>
  <c r="W73" i="4" s="1"/>
  <c r="W74" i="4" s="1"/>
  <c r="W75" i="4" s="1"/>
  <c r="W76" i="4" s="1"/>
  <c r="W77" i="4" s="1"/>
  <c r="W78" i="4" s="1"/>
  <c r="W79" i="4" s="1"/>
  <c r="W80" i="4" s="1"/>
  <c r="W81" i="4" s="1"/>
  <c r="W82" i="4" s="1"/>
  <c r="W83" i="4" s="1"/>
  <c r="W84" i="4" s="1"/>
  <c r="W85" i="4" s="1"/>
  <c r="W86" i="4" s="1"/>
  <c r="W87" i="4" s="1"/>
  <c r="W88" i="4" s="1"/>
  <c r="W89" i="4" s="1"/>
  <c r="W90" i="4" s="1"/>
  <c r="W91" i="4" s="1"/>
  <c r="W92" i="4" s="1"/>
  <c r="W93" i="4" s="1"/>
  <c r="W94" i="4" s="1"/>
  <c r="W95" i="4" s="1"/>
  <c r="W96" i="4" s="1"/>
  <c r="W97" i="4" s="1"/>
  <c r="W98" i="4" s="1"/>
  <c r="W99" i="4" s="1"/>
  <c r="W100" i="4" s="1"/>
  <c r="W101" i="4" s="1"/>
  <c r="W102" i="4" s="1"/>
  <c r="W103" i="4" s="1"/>
  <c r="W104" i="4" s="1"/>
  <c r="W105" i="4" s="1"/>
  <c r="W106" i="4" s="1"/>
  <c r="W107" i="4" s="1"/>
  <c r="W108" i="4" s="1"/>
  <c r="W109" i="4" s="1"/>
  <c r="W110" i="4" s="1"/>
  <c r="W111" i="4" s="1"/>
  <c r="W112" i="4" s="1"/>
  <c r="W113" i="4" s="1"/>
  <c r="W114" i="4" s="1"/>
  <c r="W115" i="4" s="1"/>
  <c r="W116" i="4" s="1"/>
  <c r="W117" i="4" s="1"/>
  <c r="W118" i="4" s="1"/>
  <c r="W119" i="4" s="1"/>
  <c r="W120" i="4" s="1"/>
  <c r="W121" i="4" s="1"/>
  <c r="W122" i="4" s="1"/>
  <c r="W123" i="4" s="1"/>
  <c r="W124" i="4" s="1"/>
  <c r="W125" i="4" s="1"/>
  <c r="W126" i="4" s="1"/>
  <c r="W127" i="4" s="1"/>
  <c r="W128" i="4" s="1"/>
  <c r="W129" i="4" s="1"/>
  <c r="W130" i="4" s="1"/>
  <c r="W131" i="4" s="1"/>
  <c r="W132" i="4" s="1"/>
  <c r="W133" i="4" s="1"/>
  <c r="W134" i="4" s="1"/>
  <c r="W135" i="4" s="1"/>
  <c r="W136" i="4" s="1"/>
  <c r="W137" i="4" s="1"/>
  <c r="W138" i="4" s="1"/>
  <c r="W139" i="4" s="1"/>
  <c r="W140" i="4" s="1"/>
  <c r="W141" i="4" s="1"/>
  <c r="W142" i="4" s="1"/>
  <c r="W143" i="4" s="1"/>
  <c r="W144" i="4" s="1"/>
  <c r="W145" i="4" s="1"/>
  <c r="W146" i="4" s="1"/>
  <c r="W147" i="4" s="1"/>
  <c r="W148" i="4" s="1"/>
  <c r="W149" i="4" s="1"/>
  <c r="W150" i="4" s="1"/>
  <c r="W151" i="4" s="1"/>
  <c r="W152" i="4" s="1"/>
  <c r="W153" i="4" s="1"/>
  <c r="W154" i="4" s="1"/>
  <c r="W155" i="4" s="1"/>
  <c r="W156" i="4" s="1"/>
  <c r="W157" i="4" s="1"/>
  <c r="W158" i="4" s="1"/>
  <c r="W159" i="4" s="1"/>
  <c r="W160" i="4" s="1"/>
  <c r="W161" i="4" s="1"/>
  <c r="W162" i="4" s="1"/>
  <c r="W163" i="4" s="1"/>
  <c r="W164" i="4" s="1"/>
  <c r="W165" i="4" s="1"/>
  <c r="W166" i="4" s="1"/>
  <c r="W167" i="4" s="1"/>
  <c r="W168" i="4" s="1"/>
  <c r="W169" i="4" s="1"/>
  <c r="W170" i="4" s="1"/>
  <c r="W171" i="4" s="1"/>
  <c r="W172" i="4" s="1"/>
  <c r="W173" i="4" s="1"/>
  <c r="W174" i="4" s="1"/>
  <c r="W175" i="4" s="1"/>
  <c r="W176" i="4" s="1"/>
  <c r="W177" i="4" s="1"/>
  <c r="W178" i="4" s="1"/>
  <c r="W179" i="4" s="1"/>
  <c r="W180" i="4" s="1"/>
  <c r="W181" i="4" s="1"/>
  <c r="W182" i="4" s="1"/>
  <c r="W183" i="4" s="1"/>
  <c r="W184" i="4" s="1"/>
  <c r="W185" i="4" s="1"/>
  <c r="W186" i="4" s="1"/>
  <c r="W187" i="4" s="1"/>
  <c r="W188" i="4" s="1"/>
  <c r="W189" i="4" s="1"/>
  <c r="W190" i="4" s="1"/>
  <c r="W191" i="4" s="1"/>
  <c r="W192" i="4" s="1"/>
  <c r="W193" i="4" s="1"/>
  <c r="W194" i="4" s="1"/>
  <c r="W195" i="4" s="1"/>
  <c r="W196" i="4" s="1"/>
  <c r="W197" i="4" s="1"/>
  <c r="W198" i="4" s="1"/>
  <c r="W199" i="4" s="1"/>
  <c r="W200" i="4" s="1"/>
  <c r="W201" i="4" s="1"/>
  <c r="W202" i="4" s="1"/>
  <c r="W203" i="4" s="1"/>
  <c r="W204" i="4" s="1"/>
  <c r="W205" i="4" s="1"/>
  <c r="W206" i="4" s="1"/>
  <c r="W207" i="4" s="1"/>
  <c r="W208" i="4" s="1"/>
  <c r="W209" i="4" s="1"/>
  <c r="W210" i="4" s="1"/>
  <c r="W211" i="4" s="1"/>
  <c r="W212" i="4" s="1"/>
  <c r="W213" i="4" s="1"/>
  <c r="W214" i="4" s="1"/>
  <c r="W215" i="4" s="1"/>
  <c r="W216" i="4" s="1"/>
  <c r="W217" i="4" s="1"/>
  <c r="W218" i="4" s="1"/>
  <c r="W219" i="4" s="1"/>
  <c r="W220" i="4" s="1"/>
  <c r="W221" i="4" s="1"/>
  <c r="W222" i="4" s="1"/>
  <c r="W223" i="4" s="1"/>
  <c r="W224" i="4" s="1"/>
  <c r="W225" i="4" s="1"/>
  <c r="W226" i="4" s="1"/>
  <c r="W227" i="4" s="1"/>
  <c r="W228" i="4" s="1"/>
  <c r="W229" i="4" s="1"/>
  <c r="W230" i="4" s="1"/>
  <c r="W231" i="4" s="1"/>
  <c r="W232" i="4" s="1"/>
  <c r="W233" i="4" s="1"/>
  <c r="W234" i="4" s="1"/>
  <c r="W235" i="4" s="1"/>
  <c r="W236" i="4" s="1"/>
  <c r="W237" i="4" s="1"/>
  <c r="W238" i="4" s="1"/>
  <c r="W239" i="4" s="1"/>
  <c r="W240" i="4" s="1"/>
  <c r="W241" i="4" s="1"/>
  <c r="W242" i="4" s="1"/>
  <c r="W243" i="4" s="1"/>
  <c r="W244" i="4" s="1"/>
  <c r="W245" i="4" s="1"/>
  <c r="W246" i="4" s="1"/>
  <c r="W247" i="4" s="1"/>
  <c r="W248" i="4" s="1"/>
  <c r="W249" i="4" s="1"/>
  <c r="W250" i="4" s="1"/>
  <c r="W251" i="4" s="1"/>
  <c r="W252" i="4" s="1"/>
  <c r="W253" i="4" s="1"/>
  <c r="W254" i="4" s="1"/>
  <c r="W255" i="4" s="1"/>
  <c r="W256" i="4" s="1"/>
  <c r="W257" i="4" s="1"/>
  <c r="W258" i="4" s="1"/>
  <c r="W259" i="4" s="1"/>
  <c r="W260" i="4" s="1"/>
  <c r="W261" i="4" s="1"/>
  <c r="W262" i="4" s="1"/>
  <c r="W263" i="4" s="1"/>
  <c r="W264" i="4" s="1"/>
  <c r="W265" i="4" s="1"/>
  <c r="W266" i="4" s="1"/>
  <c r="W267" i="4" s="1"/>
  <c r="W268" i="4" s="1"/>
  <c r="W269" i="4" s="1"/>
  <c r="W270" i="4" s="1"/>
  <c r="W271" i="4" s="1"/>
  <c r="W272" i="4" s="1"/>
  <c r="W273" i="4" s="1"/>
  <c r="W274" i="4" s="1"/>
  <c r="W275" i="4" s="1"/>
  <c r="W276" i="4" s="1"/>
  <c r="W277" i="4" s="1"/>
  <c r="W278" i="4" s="1"/>
  <c r="W279" i="4" s="1"/>
  <c r="W280" i="4" s="1"/>
  <c r="W281" i="4" s="1"/>
  <c r="W282" i="4" s="1"/>
  <c r="W283" i="4" s="1"/>
  <c r="W284" i="4" s="1"/>
  <c r="W285" i="4" s="1"/>
  <c r="W286" i="4" s="1"/>
  <c r="W287" i="4" s="1"/>
  <c r="W288" i="4" s="1"/>
  <c r="W289" i="4" s="1"/>
  <c r="W290" i="4" s="1"/>
  <c r="W291" i="4" s="1"/>
  <c r="W292" i="4" s="1"/>
  <c r="W293" i="4" s="1"/>
  <c r="W294" i="4" s="1"/>
  <c r="W295" i="4" s="1"/>
  <c r="W296" i="4" s="1"/>
  <c r="W297" i="4" s="1"/>
  <c r="W298" i="4" s="1"/>
  <c r="W299" i="4" s="1"/>
  <c r="W300" i="4" s="1"/>
  <c r="W301" i="4" s="1"/>
  <c r="W302" i="4" s="1"/>
  <c r="W303" i="4" s="1"/>
  <c r="W304" i="4" s="1"/>
  <c r="W305" i="4" s="1"/>
  <c r="W306" i="4" s="1"/>
  <c r="W307" i="4" s="1"/>
  <c r="W308" i="4" s="1"/>
  <c r="W309" i="4" s="1"/>
  <c r="W310" i="4" s="1"/>
  <c r="W311" i="4" s="1"/>
  <c r="W312" i="4" s="1"/>
  <c r="W313" i="4" s="1"/>
  <c r="W314" i="4" s="1"/>
  <c r="W315" i="4" s="1"/>
  <c r="W316" i="4" s="1"/>
  <c r="W317" i="4" s="1"/>
  <c r="W318" i="4" s="1"/>
  <c r="W319" i="4" s="1"/>
  <c r="W320" i="4" s="1"/>
  <c r="W321" i="4" s="1"/>
  <c r="W322" i="4" s="1"/>
  <c r="W323" i="4" s="1"/>
  <c r="W324" i="4" s="1"/>
  <c r="W325" i="4" s="1"/>
  <c r="W326" i="4" s="1"/>
  <c r="W327" i="4" s="1"/>
  <c r="W328" i="4" s="1"/>
  <c r="W329" i="4" s="1"/>
  <c r="W330" i="4" s="1"/>
  <c r="W331" i="4" s="1"/>
  <c r="W332" i="4" s="1"/>
  <c r="W333" i="4" s="1"/>
  <c r="W334" i="4" s="1"/>
  <c r="W335" i="4" s="1"/>
  <c r="W336" i="4" s="1"/>
  <c r="W337" i="4" s="1"/>
  <c r="W338" i="4" s="1"/>
  <c r="W339" i="4" s="1"/>
  <c r="W340" i="4" s="1"/>
  <c r="W341" i="4" s="1"/>
  <c r="W342" i="4" s="1"/>
  <c r="W343" i="4" s="1"/>
  <c r="W344" i="4" s="1"/>
  <c r="W345" i="4" s="1"/>
  <c r="W346" i="4" s="1"/>
  <c r="W347" i="4" s="1"/>
  <c r="W348" i="4" s="1"/>
  <c r="W349" i="4" s="1"/>
  <c r="W350" i="4" s="1"/>
  <c r="W351" i="4" s="1"/>
  <c r="W352" i="4" s="1"/>
  <c r="W353" i="4" s="1"/>
  <c r="W354" i="4" s="1"/>
  <c r="W355" i="4" s="1"/>
  <c r="W356" i="4" s="1"/>
  <c r="W357" i="4" s="1"/>
  <c r="W358" i="4" s="1"/>
  <c r="W359" i="4" s="1"/>
  <c r="W360" i="4" s="1"/>
  <c r="W361" i="4" s="1"/>
  <c r="W362" i="4" s="1"/>
  <c r="W363" i="4" s="1"/>
  <c r="W364" i="4" s="1"/>
  <c r="W365" i="4" s="1"/>
  <c r="W366" i="4" s="1"/>
  <c r="W367" i="4" s="1"/>
  <c r="W368" i="4" s="1"/>
  <c r="W369" i="4" s="1"/>
  <c r="W370" i="4" s="1"/>
  <c r="W371" i="4" s="1"/>
  <c r="W372" i="4" s="1"/>
  <c r="W373" i="4" s="1"/>
  <c r="W374" i="4" s="1"/>
  <c r="W375" i="4" s="1"/>
  <c r="W376" i="4" s="1"/>
  <c r="W377" i="4" s="1"/>
  <c r="W378" i="4" s="1"/>
  <c r="W379" i="4" s="1"/>
  <c r="W380" i="4" s="1"/>
  <c r="W381" i="4" s="1"/>
  <c r="W382" i="4" s="1"/>
  <c r="W383" i="4" s="1"/>
  <c r="W384" i="4" s="1"/>
  <c r="W385" i="4" s="1"/>
  <c r="W386" i="4" s="1"/>
  <c r="W387" i="4" s="1"/>
  <c r="W388" i="4" s="1"/>
  <c r="W389" i="4" s="1"/>
  <c r="W390" i="4" s="1"/>
  <c r="W391" i="4" s="1"/>
  <c r="W392" i="4" s="1"/>
  <c r="W393" i="4" s="1"/>
  <c r="W394" i="4" s="1"/>
  <c r="W395" i="4" s="1"/>
  <c r="W396" i="4" s="1"/>
  <c r="W397" i="4" s="1"/>
  <c r="W398" i="4" s="1"/>
  <c r="W399" i="4" s="1"/>
  <c r="W400" i="4" s="1"/>
  <c r="W401" i="4" s="1"/>
  <c r="W402" i="4" s="1"/>
  <c r="W403" i="4" s="1"/>
  <c r="W404" i="4" s="1"/>
  <c r="W405" i="4" s="1"/>
  <c r="W406" i="4" s="1"/>
  <c r="W407" i="4" s="1"/>
  <c r="W408" i="4" s="1"/>
  <c r="W409" i="4" s="1"/>
  <c r="W410" i="4" s="1"/>
  <c r="W411" i="4" s="1"/>
  <c r="W412" i="4" s="1"/>
  <c r="W413" i="4" s="1"/>
  <c r="W414" i="4" s="1"/>
  <c r="W415" i="4" s="1"/>
  <c r="W416" i="4" s="1"/>
  <c r="W417" i="4" s="1"/>
  <c r="W418" i="4" s="1"/>
  <c r="W419" i="4" s="1"/>
  <c r="W420" i="4" s="1"/>
  <c r="W421" i="4" s="1"/>
  <c r="W422" i="4" s="1"/>
  <c r="W423" i="4" s="1"/>
  <c r="W424" i="4" s="1"/>
  <c r="W425" i="4" s="1"/>
  <c r="W426" i="4" s="1"/>
  <c r="W427" i="4" s="1"/>
  <c r="W428" i="4" s="1"/>
  <c r="W429" i="4" s="1"/>
  <c r="W430" i="4" s="1"/>
  <c r="W431" i="4" s="1"/>
  <c r="W432" i="4" s="1"/>
  <c r="W433" i="4" s="1"/>
  <c r="W434" i="4" s="1"/>
  <c r="W435" i="4" s="1"/>
  <c r="W436" i="4" s="1"/>
  <c r="W437" i="4" s="1"/>
  <c r="W438" i="4" s="1"/>
  <c r="W439" i="4" s="1"/>
  <c r="W440" i="4" s="1"/>
  <c r="W441" i="4" s="1"/>
  <c r="W442" i="4" s="1"/>
  <c r="W443" i="4" s="1"/>
  <c r="W444" i="4" s="1"/>
  <c r="W445" i="4" s="1"/>
  <c r="W446" i="4" s="1"/>
  <c r="W447" i="4" s="1"/>
  <c r="W448" i="4" s="1"/>
  <c r="W449" i="4" s="1"/>
  <c r="W450" i="4" s="1"/>
  <c r="W451" i="4" s="1"/>
  <c r="W452" i="4" s="1"/>
  <c r="W453" i="4" s="1"/>
  <c r="W454" i="4" s="1"/>
  <c r="W455" i="4" s="1"/>
  <c r="W456" i="4" s="1"/>
  <c r="W457" i="4" s="1"/>
  <c r="W458" i="4" s="1"/>
  <c r="W459" i="4" s="1"/>
  <c r="W460" i="4" s="1"/>
  <c r="W461" i="4" s="1"/>
  <c r="W462" i="4" s="1"/>
  <c r="W463" i="4" s="1"/>
  <c r="W464" i="4" s="1"/>
  <c r="W465" i="4" s="1"/>
  <c r="W466" i="4" s="1"/>
  <c r="W467" i="4" s="1"/>
  <c r="W468" i="4" s="1"/>
  <c r="W469" i="4" s="1"/>
  <c r="W470" i="4" s="1"/>
  <c r="W471" i="4" s="1"/>
  <c r="W472" i="4" s="1"/>
  <c r="W473" i="4" s="1"/>
  <c r="W474" i="4" s="1"/>
  <c r="W475" i="4" s="1"/>
  <c r="W476" i="4" s="1"/>
  <c r="W477" i="4" s="1"/>
  <c r="W478" i="4" s="1"/>
  <c r="W479" i="4" s="1"/>
  <c r="W480" i="4" s="1"/>
  <c r="W481" i="4" s="1"/>
  <c r="W482" i="4" s="1"/>
  <c r="W483" i="4" s="1"/>
  <c r="W484" i="4" s="1"/>
  <c r="W485" i="4" s="1"/>
  <c r="W486" i="4" s="1"/>
  <c r="W487" i="4" s="1"/>
  <c r="W488" i="4" s="1"/>
  <c r="W489" i="4" s="1"/>
  <c r="W490" i="4" s="1"/>
  <c r="W491" i="4" s="1"/>
  <c r="W492" i="4" s="1"/>
  <c r="W493" i="4" s="1"/>
  <c r="W494" i="4" s="1"/>
  <c r="W495" i="4" s="1"/>
  <c r="W496" i="4" s="1"/>
  <c r="W497" i="4" s="1"/>
  <c r="W498" i="4" s="1"/>
  <c r="W499" i="4" s="1"/>
  <c r="W500" i="4" s="1"/>
  <c r="W501" i="4" s="1"/>
  <c r="W502" i="4" s="1"/>
  <c r="W503" i="4" s="1"/>
  <c r="W504" i="4" s="1"/>
  <c r="W505" i="4" s="1"/>
  <c r="W506" i="4" s="1"/>
  <c r="W507" i="4" s="1"/>
  <c r="G19" i="4"/>
  <c r="H19" i="4" s="1"/>
  <c r="I19" i="4" s="1"/>
  <c r="J19" i="4" s="1"/>
  <c r="K19" i="4" s="1"/>
  <c r="E20" i="4" l="1"/>
  <c r="H19" i="5"/>
  <c r="I19" i="5" s="1"/>
  <c r="J19" i="5" s="1"/>
  <c r="K19" i="5" s="1"/>
  <c r="G20" i="5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E22" i="5"/>
  <c r="C23" i="5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E21" i="4"/>
  <c r="C22" i="4"/>
  <c r="G31" i="5" l="1"/>
  <c r="C24" i="5"/>
  <c r="E23" i="5"/>
  <c r="C23" i="4"/>
  <c r="E22" i="4"/>
  <c r="G31" i="4"/>
  <c r="C25" i="5" l="1"/>
  <c r="E24" i="5"/>
  <c r="C24" i="4"/>
  <c r="E23" i="4"/>
  <c r="E25" i="5" l="1"/>
  <c r="C26" i="5"/>
  <c r="E24" i="4"/>
  <c r="C25" i="4"/>
  <c r="C27" i="5" l="1"/>
  <c r="E26" i="5"/>
  <c r="C26" i="4"/>
  <c r="E25" i="4"/>
  <c r="E27" i="5" l="1"/>
  <c r="C28" i="5"/>
  <c r="E26" i="4"/>
  <c r="C27" i="4"/>
  <c r="C29" i="5" l="1"/>
  <c r="E28" i="5"/>
  <c r="E27" i="4"/>
  <c r="C28" i="4"/>
  <c r="C30" i="5" l="1"/>
  <c r="E29" i="5"/>
  <c r="C29" i="4"/>
  <c r="E28" i="4"/>
  <c r="E30" i="5" l="1"/>
  <c r="E31" i="5" s="1"/>
  <c r="C31" i="5"/>
  <c r="E29" i="4"/>
  <c r="C30" i="4"/>
  <c r="E30" i="4" l="1"/>
  <c r="E31" i="4" s="1"/>
  <c r="C31" i="4"/>
  <c r="F9" i="5" l="1"/>
  <c r="F10" i="5" s="1"/>
  <c r="H48" i="5" s="1"/>
  <c r="F9" i="4"/>
  <c r="F10" i="4" s="1"/>
  <c r="H48" i="4" s="1"/>
  <c r="D9" i="5"/>
  <c r="D10" i="5" s="1"/>
  <c r="D9" i="4"/>
  <c r="D10" i="4" s="1"/>
  <c r="C9" i="4"/>
  <c r="C10" i="5"/>
  <c r="F39" i="5" s="1"/>
  <c r="E9" i="5"/>
  <c r="E10" i="5" s="1"/>
  <c r="F45" i="5" s="1"/>
  <c r="E9" i="4"/>
  <c r="E10" i="4" s="1"/>
  <c r="F45" i="4" s="1"/>
  <c r="C10" i="4"/>
  <c r="H39" i="4" s="1"/>
  <c r="F42" i="4"/>
  <c r="F48" i="5" l="1"/>
  <c r="F42" i="5"/>
  <c r="H39" i="5"/>
  <c r="F48" i="4"/>
  <c r="V56" i="4" s="1"/>
  <c r="X56" i="4" s="1"/>
  <c r="Y56" i="4" s="1"/>
  <c r="V57" i="4" s="1"/>
  <c r="X57" i="4" s="1"/>
  <c r="Y57" i="4" s="1"/>
  <c r="V58" i="4" s="1"/>
  <c r="X58" i="4" s="1"/>
  <c r="Y58" i="4" s="1"/>
  <c r="V59" i="4" s="1"/>
  <c r="X59" i="4" s="1"/>
  <c r="Y59" i="4" s="1"/>
  <c r="V60" i="4" s="1"/>
  <c r="X60" i="4" s="1"/>
  <c r="Y60" i="4" s="1"/>
  <c r="V61" i="4" s="1"/>
  <c r="X61" i="4" s="1"/>
  <c r="Y61" i="4" s="1"/>
  <c r="V62" i="4" s="1"/>
  <c r="X62" i="4" s="1"/>
  <c r="Y62" i="4" s="1"/>
  <c r="V63" i="4" s="1"/>
  <c r="X63" i="4" s="1"/>
  <c r="Y63" i="4" s="1"/>
  <c r="V64" i="4" s="1"/>
  <c r="X64" i="4" s="1"/>
  <c r="Y64" i="4" s="1"/>
  <c r="V65" i="4" s="1"/>
  <c r="X65" i="4" s="1"/>
  <c r="Y65" i="4" s="1"/>
  <c r="V66" i="4" s="1"/>
  <c r="X66" i="4" s="1"/>
  <c r="Y66" i="4" s="1"/>
  <c r="V67" i="4" s="1"/>
  <c r="X67" i="4" s="1"/>
  <c r="Y67" i="4" s="1"/>
  <c r="V68" i="4" s="1"/>
  <c r="X68" i="4" s="1"/>
  <c r="Y68" i="4" s="1"/>
  <c r="V69" i="4" s="1"/>
  <c r="X69" i="4" s="1"/>
  <c r="Y69" i="4" s="1"/>
  <c r="V70" i="4" s="1"/>
  <c r="X70" i="4" s="1"/>
  <c r="Y70" i="4" s="1"/>
  <c r="V71" i="4" s="1"/>
  <c r="X71" i="4" s="1"/>
  <c r="Y71" i="4" s="1"/>
  <c r="V72" i="4" s="1"/>
  <c r="X72" i="4" s="1"/>
  <c r="Y72" i="4" s="1"/>
  <c r="V73" i="4" s="1"/>
  <c r="X73" i="4" s="1"/>
  <c r="Y73" i="4" s="1"/>
  <c r="V74" i="4" s="1"/>
  <c r="X74" i="4" s="1"/>
  <c r="Y74" i="4" s="1"/>
  <c r="V75" i="4" s="1"/>
  <c r="X75" i="4" s="1"/>
  <c r="Y75" i="4" s="1"/>
  <c r="V76" i="4" s="1"/>
  <c r="X76" i="4" s="1"/>
  <c r="Y76" i="4" s="1"/>
  <c r="V77" i="4" s="1"/>
  <c r="X77" i="4" s="1"/>
  <c r="Y77" i="4" s="1"/>
  <c r="V78" i="4" s="1"/>
  <c r="X78" i="4" s="1"/>
  <c r="Y78" i="4" s="1"/>
  <c r="V79" i="4" s="1"/>
  <c r="X79" i="4" s="1"/>
  <c r="Y79" i="4" s="1"/>
  <c r="V80" i="4" s="1"/>
  <c r="X80" i="4" s="1"/>
  <c r="Y80" i="4" s="1"/>
  <c r="V81" i="4" s="1"/>
  <c r="X81" i="4" s="1"/>
  <c r="Y81" i="4" s="1"/>
  <c r="V82" i="4" s="1"/>
  <c r="X82" i="4" s="1"/>
  <c r="Y82" i="4" s="1"/>
  <c r="V83" i="4" s="1"/>
  <c r="X83" i="4" s="1"/>
  <c r="Y83" i="4" s="1"/>
  <c r="V84" i="4" s="1"/>
  <c r="X84" i="4" s="1"/>
  <c r="Y84" i="4" s="1"/>
  <c r="V85" i="4" s="1"/>
  <c r="X85" i="4" s="1"/>
  <c r="Y85" i="4" s="1"/>
  <c r="V86" i="4" s="1"/>
  <c r="X86" i="4" s="1"/>
  <c r="Y86" i="4" s="1"/>
  <c r="V87" i="4" s="1"/>
  <c r="X87" i="4" s="1"/>
  <c r="Y87" i="4" s="1"/>
  <c r="V88" i="4" s="1"/>
  <c r="X88" i="4" s="1"/>
  <c r="Y88" i="4" s="1"/>
  <c r="V89" i="4" s="1"/>
  <c r="X89" i="4" s="1"/>
  <c r="Y89" i="4" s="1"/>
  <c r="V90" i="4" s="1"/>
  <c r="X90" i="4" s="1"/>
  <c r="Y90" i="4" s="1"/>
  <c r="V91" i="4" s="1"/>
  <c r="X91" i="4" s="1"/>
  <c r="Y91" i="4" s="1"/>
  <c r="V92" i="4" s="1"/>
  <c r="X92" i="4" s="1"/>
  <c r="Y92" i="4" s="1"/>
  <c r="V93" i="4" s="1"/>
  <c r="X93" i="4" s="1"/>
  <c r="Y93" i="4" s="1"/>
  <c r="V94" i="4" s="1"/>
  <c r="X94" i="4" s="1"/>
  <c r="Y94" i="4" s="1"/>
  <c r="V95" i="4" s="1"/>
  <c r="X95" i="4" s="1"/>
  <c r="Y95" i="4" s="1"/>
  <c r="V96" i="4" s="1"/>
  <c r="X96" i="4" s="1"/>
  <c r="Y96" i="4" s="1"/>
  <c r="V97" i="4" s="1"/>
  <c r="X97" i="4" s="1"/>
  <c r="Y97" i="4" s="1"/>
  <c r="V98" i="4" s="1"/>
  <c r="X98" i="4" s="1"/>
  <c r="Y98" i="4" s="1"/>
  <c r="V99" i="4" s="1"/>
  <c r="X99" i="4" s="1"/>
  <c r="Y99" i="4" s="1"/>
  <c r="V100" i="4" s="1"/>
  <c r="X100" i="4" s="1"/>
  <c r="Y100" i="4" s="1"/>
  <c r="V101" i="4" s="1"/>
  <c r="X101" i="4" s="1"/>
  <c r="Y101" i="4" s="1"/>
  <c r="V102" i="4" s="1"/>
  <c r="X102" i="4" s="1"/>
  <c r="Y102" i="4" s="1"/>
  <c r="V103" i="4" s="1"/>
  <c r="X103" i="4" s="1"/>
  <c r="Y103" i="4" s="1"/>
  <c r="V104" i="4" s="1"/>
  <c r="X104" i="4" s="1"/>
  <c r="Y104" i="4" s="1"/>
  <c r="V105" i="4" s="1"/>
  <c r="X105" i="4" s="1"/>
  <c r="Y105" i="4" s="1"/>
  <c r="V106" i="4" s="1"/>
  <c r="X106" i="4" s="1"/>
  <c r="Y106" i="4" s="1"/>
  <c r="V107" i="4" s="1"/>
  <c r="X107" i="4" s="1"/>
  <c r="Y107" i="4" s="1"/>
  <c r="V108" i="4" s="1"/>
  <c r="X108" i="4" s="1"/>
  <c r="Y108" i="4" s="1"/>
  <c r="V109" i="4" s="1"/>
  <c r="X109" i="4" s="1"/>
  <c r="Y109" i="4" s="1"/>
  <c r="V110" i="4" s="1"/>
  <c r="X110" i="4" s="1"/>
  <c r="Y110" i="4" s="1"/>
  <c r="V111" i="4" s="1"/>
  <c r="X111" i="4" s="1"/>
  <c r="Y111" i="4" s="1"/>
  <c r="V112" i="4" s="1"/>
  <c r="X112" i="4" s="1"/>
  <c r="Y112" i="4" s="1"/>
  <c r="V113" i="4" s="1"/>
  <c r="X113" i="4" s="1"/>
  <c r="Y113" i="4" s="1"/>
  <c r="V114" i="4" s="1"/>
  <c r="X114" i="4" s="1"/>
  <c r="Y114" i="4" s="1"/>
  <c r="V115" i="4" s="1"/>
  <c r="X115" i="4" s="1"/>
  <c r="Y115" i="4" s="1"/>
  <c r="V116" i="4" s="1"/>
  <c r="X116" i="4" s="1"/>
  <c r="Y116" i="4" s="1"/>
  <c r="V117" i="4" s="1"/>
  <c r="X117" i="4" s="1"/>
  <c r="Y117" i="4" s="1"/>
  <c r="V118" i="4" s="1"/>
  <c r="X118" i="4" s="1"/>
  <c r="Y118" i="4" s="1"/>
  <c r="V119" i="4" s="1"/>
  <c r="X119" i="4" s="1"/>
  <c r="Y119" i="4" s="1"/>
  <c r="V120" i="4" s="1"/>
  <c r="X120" i="4" s="1"/>
  <c r="Y120" i="4" s="1"/>
  <c r="V121" i="4" s="1"/>
  <c r="X121" i="4" s="1"/>
  <c r="Y121" i="4" s="1"/>
  <c r="V122" i="4" s="1"/>
  <c r="X122" i="4" s="1"/>
  <c r="Y122" i="4" s="1"/>
  <c r="V123" i="4" s="1"/>
  <c r="X123" i="4" s="1"/>
  <c r="Y123" i="4" s="1"/>
  <c r="V124" i="4" s="1"/>
  <c r="X124" i="4" s="1"/>
  <c r="Y124" i="4" s="1"/>
  <c r="V125" i="4" s="1"/>
  <c r="X125" i="4" s="1"/>
  <c r="Y125" i="4" s="1"/>
  <c r="V126" i="4" s="1"/>
  <c r="X126" i="4" s="1"/>
  <c r="Y126" i="4" s="1"/>
  <c r="V127" i="4" s="1"/>
  <c r="X127" i="4" s="1"/>
  <c r="Y127" i="4" s="1"/>
  <c r="V128" i="4" s="1"/>
  <c r="X128" i="4" s="1"/>
  <c r="Y128" i="4" s="1"/>
  <c r="V129" i="4" s="1"/>
  <c r="X129" i="4" s="1"/>
  <c r="Y129" i="4" s="1"/>
  <c r="V130" i="4" s="1"/>
  <c r="X130" i="4" s="1"/>
  <c r="Y130" i="4" s="1"/>
  <c r="V131" i="4" s="1"/>
  <c r="X131" i="4" s="1"/>
  <c r="Y131" i="4" s="1"/>
  <c r="V132" i="4" s="1"/>
  <c r="X132" i="4" s="1"/>
  <c r="Y132" i="4" s="1"/>
  <c r="V133" i="4" s="1"/>
  <c r="X133" i="4" s="1"/>
  <c r="Y133" i="4" s="1"/>
  <c r="V134" i="4" s="1"/>
  <c r="X134" i="4" s="1"/>
  <c r="Y134" i="4" s="1"/>
  <c r="V135" i="4" s="1"/>
  <c r="X135" i="4" s="1"/>
  <c r="Y135" i="4" s="1"/>
  <c r="V136" i="4" s="1"/>
  <c r="X136" i="4" s="1"/>
  <c r="Y136" i="4" s="1"/>
  <c r="V137" i="4" s="1"/>
  <c r="X137" i="4" s="1"/>
  <c r="Y137" i="4" s="1"/>
  <c r="V138" i="4" s="1"/>
  <c r="X138" i="4" s="1"/>
  <c r="Y138" i="4" s="1"/>
  <c r="V139" i="4" s="1"/>
  <c r="X139" i="4" s="1"/>
  <c r="Y139" i="4" s="1"/>
  <c r="V140" i="4" s="1"/>
  <c r="X140" i="4" s="1"/>
  <c r="Y140" i="4" s="1"/>
  <c r="V141" i="4" s="1"/>
  <c r="X141" i="4" s="1"/>
  <c r="Y141" i="4" s="1"/>
  <c r="V142" i="4" s="1"/>
  <c r="X142" i="4" s="1"/>
  <c r="Y142" i="4" s="1"/>
  <c r="V143" i="4" s="1"/>
  <c r="X143" i="4" s="1"/>
  <c r="Y143" i="4" s="1"/>
  <c r="V144" i="4" s="1"/>
  <c r="X144" i="4" s="1"/>
  <c r="Y144" i="4" s="1"/>
  <c r="V145" i="4" s="1"/>
  <c r="X145" i="4" s="1"/>
  <c r="Y145" i="4" s="1"/>
  <c r="V146" i="4" s="1"/>
  <c r="X146" i="4" s="1"/>
  <c r="Y146" i="4" s="1"/>
  <c r="V147" i="4" s="1"/>
  <c r="X147" i="4" s="1"/>
  <c r="Y147" i="4" s="1"/>
  <c r="V148" i="4" s="1"/>
  <c r="X148" i="4" s="1"/>
  <c r="Y148" i="4" s="1"/>
  <c r="V149" i="4" s="1"/>
  <c r="X149" i="4" s="1"/>
  <c r="Y149" i="4" s="1"/>
  <c r="V150" i="4" s="1"/>
  <c r="X150" i="4" s="1"/>
  <c r="Y150" i="4" s="1"/>
  <c r="V151" i="4" s="1"/>
  <c r="X151" i="4" s="1"/>
  <c r="Y151" i="4" s="1"/>
  <c r="V152" i="4" s="1"/>
  <c r="X152" i="4" s="1"/>
  <c r="Y152" i="4" s="1"/>
  <c r="V153" i="4" s="1"/>
  <c r="X153" i="4" s="1"/>
  <c r="Y153" i="4" s="1"/>
  <c r="V154" i="4" s="1"/>
  <c r="X154" i="4" s="1"/>
  <c r="Y154" i="4" s="1"/>
  <c r="V155" i="4" s="1"/>
  <c r="X155" i="4" s="1"/>
  <c r="Y155" i="4" s="1"/>
  <c r="V156" i="4" s="1"/>
  <c r="X156" i="4" s="1"/>
  <c r="Y156" i="4" s="1"/>
  <c r="V157" i="4" s="1"/>
  <c r="X157" i="4" s="1"/>
  <c r="Y157" i="4" s="1"/>
  <c r="V158" i="4" s="1"/>
  <c r="X158" i="4" s="1"/>
  <c r="Y158" i="4" s="1"/>
  <c r="V159" i="4" s="1"/>
  <c r="X159" i="4" s="1"/>
  <c r="Y159" i="4" s="1"/>
  <c r="V160" i="4" s="1"/>
  <c r="X160" i="4" s="1"/>
  <c r="Y160" i="4" s="1"/>
  <c r="V161" i="4" s="1"/>
  <c r="X161" i="4" s="1"/>
  <c r="Y161" i="4" s="1"/>
  <c r="V162" i="4" s="1"/>
  <c r="X162" i="4" s="1"/>
  <c r="Y162" i="4" s="1"/>
  <c r="V163" i="4" s="1"/>
  <c r="X163" i="4" s="1"/>
  <c r="Y163" i="4" s="1"/>
  <c r="V164" i="4" s="1"/>
  <c r="X164" i="4" s="1"/>
  <c r="Y164" i="4" s="1"/>
  <c r="V165" i="4" s="1"/>
  <c r="X165" i="4" s="1"/>
  <c r="Y165" i="4" s="1"/>
  <c r="V166" i="4" s="1"/>
  <c r="X166" i="4" s="1"/>
  <c r="Y166" i="4" s="1"/>
  <c r="V167" i="4" s="1"/>
  <c r="X167" i="4" s="1"/>
  <c r="Y167" i="4" s="1"/>
  <c r="V168" i="4" s="1"/>
  <c r="X168" i="4" s="1"/>
  <c r="Y168" i="4" s="1"/>
  <c r="V169" i="4" s="1"/>
  <c r="X169" i="4" s="1"/>
  <c r="Y169" i="4" s="1"/>
  <c r="V170" i="4" s="1"/>
  <c r="X170" i="4" s="1"/>
  <c r="Y170" i="4" s="1"/>
  <c r="V171" i="4" s="1"/>
  <c r="X171" i="4" s="1"/>
  <c r="Y171" i="4" s="1"/>
  <c r="V172" i="4" s="1"/>
  <c r="X172" i="4" s="1"/>
  <c r="Y172" i="4" s="1"/>
  <c r="V173" i="4" s="1"/>
  <c r="X173" i="4" s="1"/>
  <c r="Y173" i="4" s="1"/>
  <c r="V174" i="4" s="1"/>
  <c r="X174" i="4" s="1"/>
  <c r="Y174" i="4" s="1"/>
  <c r="V175" i="4" s="1"/>
  <c r="X175" i="4" s="1"/>
  <c r="Y175" i="4" s="1"/>
  <c r="V176" i="4" s="1"/>
  <c r="D39" i="4"/>
  <c r="E39" i="4"/>
  <c r="D48" i="4"/>
  <c r="E48" i="4"/>
  <c r="C48" i="4"/>
  <c r="D39" i="5"/>
  <c r="E39" i="5"/>
  <c r="C39" i="5"/>
  <c r="D56" i="5" s="1"/>
  <c r="F56" i="5" s="1"/>
  <c r="G56" i="5" s="1"/>
  <c r="D57" i="5" s="1"/>
  <c r="F57" i="5" s="1"/>
  <c r="G57" i="5" s="1"/>
  <c r="D58" i="5" s="1"/>
  <c r="F58" i="5" s="1"/>
  <c r="G58" i="5" s="1"/>
  <c r="D59" i="5" s="1"/>
  <c r="F59" i="5" s="1"/>
  <c r="G59" i="5" s="1"/>
  <c r="D60" i="5" s="1"/>
  <c r="F60" i="5" s="1"/>
  <c r="G60" i="5" s="1"/>
  <c r="D61" i="5" s="1"/>
  <c r="F61" i="5" s="1"/>
  <c r="G61" i="5" s="1"/>
  <c r="D62" i="5" s="1"/>
  <c r="F62" i="5" s="1"/>
  <c r="G62" i="5" s="1"/>
  <c r="D63" i="5" s="1"/>
  <c r="F63" i="5" s="1"/>
  <c r="G63" i="5" s="1"/>
  <c r="D64" i="5" s="1"/>
  <c r="F64" i="5" s="1"/>
  <c r="G64" i="5" s="1"/>
  <c r="D65" i="5" s="1"/>
  <c r="F65" i="5" s="1"/>
  <c r="G65" i="5" s="1"/>
  <c r="D66" i="5" s="1"/>
  <c r="F66" i="5" s="1"/>
  <c r="G66" i="5" s="1"/>
  <c r="D67" i="5" s="1"/>
  <c r="F67" i="5" s="1"/>
  <c r="G67" i="5" s="1"/>
  <c r="D68" i="5" s="1"/>
  <c r="F68" i="5" s="1"/>
  <c r="G68" i="5" s="1"/>
  <c r="D69" i="5" s="1"/>
  <c r="F69" i="5" s="1"/>
  <c r="G69" i="5" s="1"/>
  <c r="D70" i="5" s="1"/>
  <c r="F70" i="5" s="1"/>
  <c r="G70" i="5" s="1"/>
  <c r="D71" i="5" s="1"/>
  <c r="F71" i="5" s="1"/>
  <c r="G71" i="5" s="1"/>
  <c r="D72" i="5" s="1"/>
  <c r="F72" i="5" s="1"/>
  <c r="G72" i="5" s="1"/>
  <c r="D73" i="5" s="1"/>
  <c r="F73" i="5" s="1"/>
  <c r="G73" i="5" s="1"/>
  <c r="D74" i="5" s="1"/>
  <c r="F74" i="5" s="1"/>
  <c r="G74" i="5" s="1"/>
  <c r="D75" i="5" s="1"/>
  <c r="F75" i="5" s="1"/>
  <c r="G75" i="5" s="1"/>
  <c r="D76" i="5" s="1"/>
  <c r="F76" i="5" s="1"/>
  <c r="G76" i="5" s="1"/>
  <c r="D77" i="5" s="1"/>
  <c r="F77" i="5" s="1"/>
  <c r="G77" i="5" s="1"/>
  <c r="D78" i="5" s="1"/>
  <c r="F78" i="5" s="1"/>
  <c r="G78" i="5" s="1"/>
  <c r="D79" i="5" s="1"/>
  <c r="F79" i="5" s="1"/>
  <c r="G79" i="5" s="1"/>
  <c r="D80" i="5" s="1"/>
  <c r="F80" i="5" s="1"/>
  <c r="G80" i="5" s="1"/>
  <c r="D81" i="5" s="1"/>
  <c r="F81" i="5" s="1"/>
  <c r="G81" i="5" s="1"/>
  <c r="D82" i="5" s="1"/>
  <c r="F82" i="5" s="1"/>
  <c r="G82" i="5" s="1"/>
  <c r="D83" i="5" s="1"/>
  <c r="F83" i="5" s="1"/>
  <c r="G83" i="5" s="1"/>
  <c r="D84" i="5" s="1"/>
  <c r="F84" i="5" s="1"/>
  <c r="G84" i="5" s="1"/>
  <c r="D85" i="5" s="1"/>
  <c r="F85" i="5" s="1"/>
  <c r="G85" i="5" s="1"/>
  <c r="D86" i="5" s="1"/>
  <c r="F86" i="5" s="1"/>
  <c r="G86" i="5" s="1"/>
  <c r="D87" i="5" s="1"/>
  <c r="F87" i="5" s="1"/>
  <c r="G87" i="5" s="1"/>
  <c r="D88" i="5" s="1"/>
  <c r="F88" i="5" s="1"/>
  <c r="G88" i="5" s="1"/>
  <c r="D89" i="5" s="1"/>
  <c r="F89" i="5" s="1"/>
  <c r="G89" i="5" s="1"/>
  <c r="D90" i="5" s="1"/>
  <c r="F90" i="5" s="1"/>
  <c r="G90" i="5" s="1"/>
  <c r="D91" i="5" s="1"/>
  <c r="F91" i="5" s="1"/>
  <c r="G91" i="5" s="1"/>
  <c r="D42" i="5"/>
  <c r="E42" i="5"/>
  <c r="C42" i="5"/>
  <c r="F39" i="4"/>
  <c r="D45" i="4"/>
  <c r="C45" i="4"/>
  <c r="E45" i="4"/>
  <c r="E48" i="5"/>
  <c r="F49" i="5" s="1"/>
  <c r="C48" i="5"/>
  <c r="D48" i="5"/>
  <c r="E42" i="4"/>
  <c r="D42" i="4"/>
  <c r="C42" i="4"/>
  <c r="C45" i="5"/>
  <c r="D45" i="5"/>
  <c r="E45" i="5"/>
  <c r="V56" i="5"/>
  <c r="X56" i="5" s="1"/>
  <c r="Y56" i="5" s="1"/>
  <c r="V57" i="5" s="1"/>
  <c r="X57" i="5" s="1"/>
  <c r="Y57" i="5" s="1"/>
  <c r="V58" i="5" s="1"/>
  <c r="X58" i="5" s="1"/>
  <c r="Y58" i="5" s="1"/>
  <c r="V59" i="5" s="1"/>
  <c r="X59" i="5" s="1"/>
  <c r="Y59" i="5" s="1"/>
  <c r="V60" i="5" s="1"/>
  <c r="X60" i="5" s="1"/>
  <c r="Y60" i="5" s="1"/>
  <c r="V61" i="5" s="1"/>
  <c r="X61" i="5" s="1"/>
  <c r="Y61" i="5" s="1"/>
  <c r="V62" i="5" s="1"/>
  <c r="X62" i="5" s="1"/>
  <c r="Y62" i="5" s="1"/>
  <c r="V63" i="5" s="1"/>
  <c r="X63" i="5" s="1"/>
  <c r="Y63" i="5" s="1"/>
  <c r="V64" i="5" s="1"/>
  <c r="X64" i="5" s="1"/>
  <c r="Y64" i="5" s="1"/>
  <c r="V65" i="5" s="1"/>
  <c r="X65" i="5" s="1"/>
  <c r="Y65" i="5" s="1"/>
  <c r="V66" i="5" s="1"/>
  <c r="X66" i="5" s="1"/>
  <c r="Y66" i="5" s="1"/>
  <c r="V67" i="5" s="1"/>
  <c r="X67" i="5" s="1"/>
  <c r="Y67" i="5" s="1"/>
  <c r="V68" i="5" s="1"/>
  <c r="X68" i="5" s="1"/>
  <c r="Y68" i="5" s="1"/>
  <c r="V69" i="5" s="1"/>
  <c r="X69" i="5" s="1"/>
  <c r="Y69" i="5" s="1"/>
  <c r="V70" i="5" s="1"/>
  <c r="X70" i="5" s="1"/>
  <c r="Y70" i="5" s="1"/>
  <c r="V71" i="5" s="1"/>
  <c r="X71" i="5" s="1"/>
  <c r="Y71" i="5" s="1"/>
  <c r="V72" i="5" s="1"/>
  <c r="X72" i="5" s="1"/>
  <c r="Y72" i="5" s="1"/>
  <c r="V73" i="5" s="1"/>
  <c r="X73" i="5" s="1"/>
  <c r="Y73" i="5" s="1"/>
  <c r="V74" i="5" s="1"/>
  <c r="X74" i="5" s="1"/>
  <c r="Y74" i="5" s="1"/>
  <c r="V75" i="5" s="1"/>
  <c r="X75" i="5" s="1"/>
  <c r="Y75" i="5" s="1"/>
  <c r="V76" i="5" s="1"/>
  <c r="X76" i="5" s="1"/>
  <c r="Y76" i="5" s="1"/>
  <c r="V77" i="5" s="1"/>
  <c r="X77" i="5" s="1"/>
  <c r="Y77" i="5" s="1"/>
  <c r="V78" i="5" s="1"/>
  <c r="X78" i="5" s="1"/>
  <c r="Y78" i="5" s="1"/>
  <c r="V79" i="5" s="1"/>
  <c r="X79" i="5" s="1"/>
  <c r="Y79" i="5" s="1"/>
  <c r="V80" i="5" s="1"/>
  <c r="X80" i="5" s="1"/>
  <c r="Y80" i="5" s="1"/>
  <c r="V81" i="5" s="1"/>
  <c r="X81" i="5" s="1"/>
  <c r="Y81" i="5" s="1"/>
  <c r="V82" i="5" s="1"/>
  <c r="X82" i="5" s="1"/>
  <c r="Y82" i="5" s="1"/>
  <c r="V83" i="5" s="1"/>
  <c r="X83" i="5" s="1"/>
  <c r="Y83" i="5" s="1"/>
  <c r="V84" i="5" s="1"/>
  <c r="X84" i="5" s="1"/>
  <c r="Y84" i="5" s="1"/>
  <c r="V85" i="5" s="1"/>
  <c r="X85" i="5" s="1"/>
  <c r="Y85" i="5" s="1"/>
  <c r="V86" i="5" s="1"/>
  <c r="X86" i="5" s="1"/>
  <c r="Y86" i="5" s="1"/>
  <c r="V87" i="5" s="1"/>
  <c r="X87" i="5" s="1"/>
  <c r="Y87" i="5" s="1"/>
  <c r="V88" i="5" s="1"/>
  <c r="X88" i="5" s="1"/>
  <c r="Y88" i="5" s="1"/>
  <c r="V89" i="5" s="1"/>
  <c r="X89" i="5" s="1"/>
  <c r="Y89" i="5" s="1"/>
  <c r="V90" i="5" s="1"/>
  <c r="X90" i="5" s="1"/>
  <c r="Y90" i="5" s="1"/>
  <c r="V91" i="5" s="1"/>
  <c r="X91" i="5" s="1"/>
  <c r="Y91" i="5" s="1"/>
  <c r="V92" i="5" s="1"/>
  <c r="X92" i="5" s="1"/>
  <c r="Y92" i="5" s="1"/>
  <c r="V93" i="5" s="1"/>
  <c r="X93" i="5" s="1"/>
  <c r="Y93" i="5" s="1"/>
  <c r="V94" i="5" s="1"/>
  <c r="X94" i="5" s="1"/>
  <c r="Y94" i="5" s="1"/>
  <c r="V95" i="5" s="1"/>
  <c r="X95" i="5" s="1"/>
  <c r="Y95" i="5" s="1"/>
  <c r="V96" i="5" s="1"/>
  <c r="X96" i="5" s="1"/>
  <c r="Y96" i="5" s="1"/>
  <c r="V97" i="5" s="1"/>
  <c r="X97" i="5" s="1"/>
  <c r="Y97" i="5" s="1"/>
  <c r="V98" i="5" s="1"/>
  <c r="X98" i="5" s="1"/>
  <c r="Y98" i="5" s="1"/>
  <c r="V99" i="5" s="1"/>
  <c r="X99" i="5" s="1"/>
  <c r="Y99" i="5" s="1"/>
  <c r="V100" i="5" s="1"/>
  <c r="X100" i="5" s="1"/>
  <c r="Y100" i="5" s="1"/>
  <c r="V101" i="5" s="1"/>
  <c r="X101" i="5" s="1"/>
  <c r="Y101" i="5" s="1"/>
  <c r="V102" i="5" s="1"/>
  <c r="X102" i="5" s="1"/>
  <c r="Y102" i="5" s="1"/>
  <c r="V103" i="5" s="1"/>
  <c r="X103" i="5" s="1"/>
  <c r="Y103" i="5" s="1"/>
  <c r="V104" i="5" s="1"/>
  <c r="X104" i="5" s="1"/>
  <c r="Y104" i="5" s="1"/>
  <c r="V105" i="5" s="1"/>
  <c r="X105" i="5" s="1"/>
  <c r="Y105" i="5" s="1"/>
  <c r="V106" i="5" s="1"/>
  <c r="X106" i="5" s="1"/>
  <c r="Y106" i="5" s="1"/>
  <c r="V107" i="5" s="1"/>
  <c r="X107" i="5" s="1"/>
  <c r="Y107" i="5" s="1"/>
  <c r="V108" i="5" s="1"/>
  <c r="X108" i="5" s="1"/>
  <c r="Y108" i="5" s="1"/>
  <c r="V109" i="5" s="1"/>
  <c r="X109" i="5" s="1"/>
  <c r="Y109" i="5" s="1"/>
  <c r="V110" i="5" s="1"/>
  <c r="X110" i="5" s="1"/>
  <c r="Y110" i="5" s="1"/>
  <c r="V111" i="5" s="1"/>
  <c r="X111" i="5" s="1"/>
  <c r="Y111" i="5" s="1"/>
  <c r="V112" i="5" s="1"/>
  <c r="X112" i="5" s="1"/>
  <c r="Y112" i="5" s="1"/>
  <c r="V113" i="5" s="1"/>
  <c r="X113" i="5" s="1"/>
  <c r="Y113" i="5" s="1"/>
  <c r="V114" i="5" s="1"/>
  <c r="X114" i="5" s="1"/>
  <c r="Y114" i="5" s="1"/>
  <c r="V115" i="5" s="1"/>
  <c r="X115" i="5" s="1"/>
  <c r="Y115" i="5" s="1"/>
  <c r="V116" i="5" s="1"/>
  <c r="X116" i="5" s="1"/>
  <c r="Y116" i="5" s="1"/>
  <c r="V117" i="5" s="1"/>
  <c r="X117" i="5" s="1"/>
  <c r="Y117" i="5" s="1"/>
  <c r="V118" i="5" s="1"/>
  <c r="X118" i="5" s="1"/>
  <c r="Y118" i="5" s="1"/>
  <c r="V119" i="5" s="1"/>
  <c r="X119" i="5" s="1"/>
  <c r="Y119" i="5" s="1"/>
  <c r="V120" i="5" s="1"/>
  <c r="X120" i="5" s="1"/>
  <c r="Y120" i="5" s="1"/>
  <c r="V121" i="5" s="1"/>
  <c r="X121" i="5" s="1"/>
  <c r="Y121" i="5" s="1"/>
  <c r="V122" i="5" s="1"/>
  <c r="X122" i="5" s="1"/>
  <c r="Y122" i="5" s="1"/>
  <c r="V123" i="5" s="1"/>
  <c r="X123" i="5" s="1"/>
  <c r="Y123" i="5" s="1"/>
  <c r="V124" i="5" s="1"/>
  <c r="X124" i="5" s="1"/>
  <c r="Y124" i="5" s="1"/>
  <c r="V125" i="5" s="1"/>
  <c r="X125" i="5" s="1"/>
  <c r="Y125" i="5" s="1"/>
  <c r="V126" i="5" s="1"/>
  <c r="X126" i="5" s="1"/>
  <c r="Y126" i="5" s="1"/>
  <c r="V127" i="5" s="1"/>
  <c r="X127" i="5" s="1"/>
  <c r="Y127" i="5" s="1"/>
  <c r="V128" i="5" s="1"/>
  <c r="X128" i="5" s="1"/>
  <c r="Y128" i="5" s="1"/>
  <c r="V129" i="5" s="1"/>
  <c r="X129" i="5" s="1"/>
  <c r="Y129" i="5" s="1"/>
  <c r="V130" i="5" s="1"/>
  <c r="X130" i="5" s="1"/>
  <c r="Y130" i="5" s="1"/>
  <c r="V131" i="5" s="1"/>
  <c r="X131" i="5" s="1"/>
  <c r="Y131" i="5" s="1"/>
  <c r="V132" i="5" s="1"/>
  <c r="X132" i="5" s="1"/>
  <c r="Y132" i="5" s="1"/>
  <c r="V133" i="5" s="1"/>
  <c r="X133" i="5" s="1"/>
  <c r="Y133" i="5" s="1"/>
  <c r="V134" i="5" s="1"/>
  <c r="X134" i="5" s="1"/>
  <c r="Y134" i="5" s="1"/>
  <c r="V135" i="5" s="1"/>
  <c r="X135" i="5" s="1"/>
  <c r="Y135" i="5" s="1"/>
  <c r="V136" i="5" s="1"/>
  <c r="X136" i="5" s="1"/>
  <c r="Y136" i="5" s="1"/>
  <c r="V137" i="5" s="1"/>
  <c r="X137" i="5" s="1"/>
  <c r="Y137" i="5" s="1"/>
  <c r="V138" i="5" s="1"/>
  <c r="X138" i="5" s="1"/>
  <c r="Y138" i="5" s="1"/>
  <c r="V139" i="5" s="1"/>
  <c r="X139" i="5" s="1"/>
  <c r="Y139" i="5" s="1"/>
  <c r="V140" i="5" s="1"/>
  <c r="X140" i="5" s="1"/>
  <c r="Y140" i="5" s="1"/>
  <c r="V141" i="5" s="1"/>
  <c r="X141" i="5" s="1"/>
  <c r="Y141" i="5" s="1"/>
  <c r="V142" i="5" s="1"/>
  <c r="X142" i="5" s="1"/>
  <c r="Y142" i="5" s="1"/>
  <c r="V143" i="5" s="1"/>
  <c r="X143" i="5" s="1"/>
  <c r="Y143" i="5" s="1"/>
  <c r="V144" i="5" s="1"/>
  <c r="X144" i="5" s="1"/>
  <c r="Y144" i="5" s="1"/>
  <c r="V145" i="5" s="1"/>
  <c r="X145" i="5" s="1"/>
  <c r="Y145" i="5" s="1"/>
  <c r="V146" i="5" s="1"/>
  <c r="X146" i="5" s="1"/>
  <c r="Y146" i="5" s="1"/>
  <c r="V147" i="5" s="1"/>
  <c r="X147" i="5" s="1"/>
  <c r="Y147" i="5" s="1"/>
  <c r="V148" i="5" s="1"/>
  <c r="X148" i="5" s="1"/>
  <c r="Y148" i="5" s="1"/>
  <c r="V149" i="5" s="1"/>
  <c r="X149" i="5" s="1"/>
  <c r="Y149" i="5" s="1"/>
  <c r="V150" i="5" s="1"/>
  <c r="X150" i="5" s="1"/>
  <c r="Y150" i="5" s="1"/>
  <c r="V151" i="5" s="1"/>
  <c r="X151" i="5" s="1"/>
  <c r="Y151" i="5" s="1"/>
  <c r="V152" i="5" s="1"/>
  <c r="X152" i="5" s="1"/>
  <c r="Y152" i="5" s="1"/>
  <c r="V153" i="5" s="1"/>
  <c r="X153" i="5" s="1"/>
  <c r="Y153" i="5" s="1"/>
  <c r="V154" i="5" s="1"/>
  <c r="X154" i="5" s="1"/>
  <c r="Y154" i="5" s="1"/>
  <c r="V155" i="5" s="1"/>
  <c r="X155" i="5" s="1"/>
  <c r="Y155" i="5" s="1"/>
  <c r="V156" i="5" s="1"/>
  <c r="X156" i="5" s="1"/>
  <c r="Y156" i="5" s="1"/>
  <c r="V157" i="5" s="1"/>
  <c r="X157" i="5" s="1"/>
  <c r="Y157" i="5" s="1"/>
  <c r="V158" i="5" s="1"/>
  <c r="X158" i="5" s="1"/>
  <c r="Y158" i="5" s="1"/>
  <c r="V159" i="5" s="1"/>
  <c r="X159" i="5" s="1"/>
  <c r="Y159" i="5" s="1"/>
  <c r="V160" i="5" s="1"/>
  <c r="X160" i="5" s="1"/>
  <c r="Y160" i="5" s="1"/>
  <c r="V161" i="5" s="1"/>
  <c r="X161" i="5" s="1"/>
  <c r="Y161" i="5" s="1"/>
  <c r="V162" i="5" s="1"/>
  <c r="X162" i="5" s="1"/>
  <c r="Y162" i="5" s="1"/>
  <c r="V163" i="5" s="1"/>
  <c r="X163" i="5" s="1"/>
  <c r="Y163" i="5" s="1"/>
  <c r="V164" i="5" s="1"/>
  <c r="X164" i="5" s="1"/>
  <c r="Y164" i="5" s="1"/>
  <c r="V165" i="5" s="1"/>
  <c r="X165" i="5" s="1"/>
  <c r="Y165" i="5" s="1"/>
  <c r="V166" i="5" s="1"/>
  <c r="X166" i="5" s="1"/>
  <c r="Y166" i="5" s="1"/>
  <c r="V167" i="5" s="1"/>
  <c r="X167" i="5" s="1"/>
  <c r="Y167" i="5" s="1"/>
  <c r="V168" i="5" s="1"/>
  <c r="X168" i="5" s="1"/>
  <c r="Y168" i="5" s="1"/>
  <c r="V169" i="5" s="1"/>
  <c r="X169" i="5" s="1"/>
  <c r="Y169" i="5" s="1"/>
  <c r="V170" i="5" s="1"/>
  <c r="X170" i="5" s="1"/>
  <c r="Y170" i="5" s="1"/>
  <c r="V171" i="5" s="1"/>
  <c r="X171" i="5" s="1"/>
  <c r="Y171" i="5" s="1"/>
  <c r="V172" i="5" s="1"/>
  <c r="X172" i="5" s="1"/>
  <c r="Y172" i="5" s="1"/>
  <c r="V173" i="5" s="1"/>
  <c r="X173" i="5" s="1"/>
  <c r="Y173" i="5" s="1"/>
  <c r="V174" i="5" s="1"/>
  <c r="X174" i="5" s="1"/>
  <c r="Y174" i="5" s="1"/>
  <c r="V175" i="5" s="1"/>
  <c r="X175" i="5" s="1"/>
  <c r="Y175" i="5" s="1"/>
  <c r="V176" i="5" s="1"/>
  <c r="H42" i="4"/>
  <c r="H42" i="5"/>
  <c r="H45" i="4"/>
  <c r="H45" i="5"/>
  <c r="E26" i="3"/>
  <c r="F56" i="4" l="1"/>
  <c r="G56" i="4" s="1"/>
  <c r="D57" i="4" s="1"/>
  <c r="F57" i="4" s="1"/>
  <c r="G57" i="4" s="1"/>
  <c r="D58" i="4" s="1"/>
  <c r="F58" i="4" s="1"/>
  <c r="G58" i="4" s="1"/>
  <c r="D59" i="4" s="1"/>
  <c r="F59" i="4" s="1"/>
  <c r="G59" i="4" s="1"/>
  <c r="D60" i="4" s="1"/>
  <c r="F60" i="4" s="1"/>
  <c r="G60" i="4" s="1"/>
  <c r="D61" i="4" s="1"/>
  <c r="F61" i="4" s="1"/>
  <c r="G61" i="4" s="1"/>
  <c r="D62" i="4" s="1"/>
  <c r="F62" i="4" s="1"/>
  <c r="G62" i="4" s="1"/>
  <c r="D63" i="4" s="1"/>
  <c r="F63" i="4" s="1"/>
  <c r="G63" i="4" s="1"/>
  <c r="D64" i="4" s="1"/>
  <c r="F64" i="4" s="1"/>
  <c r="G64" i="4" s="1"/>
  <c r="D65" i="4" s="1"/>
  <c r="F65" i="4" s="1"/>
  <c r="G65" i="4" s="1"/>
  <c r="D66" i="4" s="1"/>
  <c r="F66" i="4" s="1"/>
  <c r="G66" i="4" s="1"/>
  <c r="D67" i="4" s="1"/>
  <c r="F67" i="4" s="1"/>
  <c r="G67" i="4" s="1"/>
  <c r="D68" i="4" s="1"/>
  <c r="F68" i="4" s="1"/>
  <c r="G68" i="4" s="1"/>
  <c r="D69" i="4" s="1"/>
  <c r="F69" i="4" s="1"/>
  <c r="G69" i="4" s="1"/>
  <c r="D70" i="4" s="1"/>
  <c r="F70" i="4" s="1"/>
  <c r="G70" i="4" s="1"/>
  <c r="D71" i="4" s="1"/>
  <c r="F71" i="4" s="1"/>
  <c r="G71" i="4" s="1"/>
  <c r="D72" i="4" s="1"/>
  <c r="F72" i="4" s="1"/>
  <c r="G72" i="4" s="1"/>
  <c r="D73" i="4" s="1"/>
  <c r="F73" i="4" s="1"/>
  <c r="G73" i="4" s="1"/>
  <c r="D74" i="4" s="1"/>
  <c r="F74" i="4" s="1"/>
  <c r="G74" i="4" s="1"/>
  <c r="D75" i="4" s="1"/>
  <c r="F75" i="4" s="1"/>
  <c r="G75" i="4" s="1"/>
  <c r="D76" i="4" s="1"/>
  <c r="F76" i="4" s="1"/>
  <c r="G76" i="4" s="1"/>
  <c r="D77" i="4" s="1"/>
  <c r="F77" i="4" s="1"/>
  <c r="G77" i="4" s="1"/>
  <c r="D78" i="4" s="1"/>
  <c r="F78" i="4" s="1"/>
  <c r="G78" i="4" s="1"/>
  <c r="D79" i="4" s="1"/>
  <c r="F79" i="4" s="1"/>
  <c r="G79" i="4" s="1"/>
  <c r="D80" i="4" s="1"/>
  <c r="F80" i="4" s="1"/>
  <c r="G80" i="4" s="1"/>
  <c r="D81" i="4" s="1"/>
  <c r="F81" i="4" s="1"/>
  <c r="G81" i="4" s="1"/>
  <c r="D82" i="4" s="1"/>
  <c r="F82" i="4" s="1"/>
  <c r="G82" i="4" s="1"/>
  <c r="D83" i="4" s="1"/>
  <c r="F83" i="4" s="1"/>
  <c r="G83" i="4" s="1"/>
  <c r="D84" i="4" s="1"/>
  <c r="F84" i="4" s="1"/>
  <c r="G84" i="4" s="1"/>
  <c r="D85" i="4" s="1"/>
  <c r="F85" i="4" s="1"/>
  <c r="G85" i="4" s="1"/>
  <c r="D86" i="4" s="1"/>
  <c r="F86" i="4" s="1"/>
  <c r="G86" i="4" s="1"/>
  <c r="D87" i="4" s="1"/>
  <c r="F87" i="4" s="1"/>
  <c r="G87" i="4" s="1"/>
  <c r="D88" i="4" s="1"/>
  <c r="F88" i="4" s="1"/>
  <c r="G88" i="4" s="1"/>
  <c r="D89" i="4" s="1"/>
  <c r="F89" i="4" s="1"/>
  <c r="G89" i="4" s="1"/>
  <c r="D90" i="4" s="1"/>
  <c r="F90" i="4" s="1"/>
  <c r="G90" i="4" s="1"/>
  <c r="D91" i="4" s="1"/>
  <c r="F91" i="4" s="1"/>
  <c r="G91" i="4" s="1"/>
  <c r="F49" i="4"/>
  <c r="P56" i="4"/>
  <c r="R56" i="4" s="1"/>
  <c r="S56" i="4" s="1"/>
  <c r="P57" i="4" s="1"/>
  <c r="R57" i="4" s="1"/>
  <c r="S57" i="4" s="1"/>
  <c r="P58" i="4" s="1"/>
  <c r="R58" i="4" s="1"/>
  <c r="S58" i="4" s="1"/>
  <c r="P59" i="4" s="1"/>
  <c r="R59" i="4" s="1"/>
  <c r="S59" i="4" s="1"/>
  <c r="P60" i="4" s="1"/>
  <c r="R60" i="4" s="1"/>
  <c r="S60" i="4" s="1"/>
  <c r="P61" i="4" s="1"/>
  <c r="R61" i="4" s="1"/>
  <c r="S61" i="4" s="1"/>
  <c r="P62" i="4" s="1"/>
  <c r="R62" i="4" s="1"/>
  <c r="S62" i="4" s="1"/>
  <c r="P63" i="4" s="1"/>
  <c r="R63" i="4" s="1"/>
  <c r="S63" i="4" s="1"/>
  <c r="P64" i="4" s="1"/>
  <c r="R64" i="4" s="1"/>
  <c r="S64" i="4" s="1"/>
  <c r="P65" i="4" s="1"/>
  <c r="R65" i="4" s="1"/>
  <c r="S65" i="4" s="1"/>
  <c r="P66" i="4" s="1"/>
  <c r="R66" i="4" s="1"/>
  <c r="S66" i="4" s="1"/>
  <c r="P67" i="4" s="1"/>
  <c r="R67" i="4" s="1"/>
  <c r="S67" i="4" s="1"/>
  <c r="P68" i="4" s="1"/>
  <c r="R68" i="4" s="1"/>
  <c r="S68" i="4" s="1"/>
  <c r="P69" i="4" s="1"/>
  <c r="R69" i="4" s="1"/>
  <c r="S69" i="4" s="1"/>
  <c r="P70" i="4" s="1"/>
  <c r="R70" i="4" s="1"/>
  <c r="S70" i="4" s="1"/>
  <c r="P71" i="4" s="1"/>
  <c r="R71" i="4" s="1"/>
  <c r="S71" i="4" s="1"/>
  <c r="P72" i="4" s="1"/>
  <c r="R72" i="4" s="1"/>
  <c r="S72" i="4" s="1"/>
  <c r="P73" i="4" s="1"/>
  <c r="R73" i="4" s="1"/>
  <c r="S73" i="4" s="1"/>
  <c r="P74" i="4" s="1"/>
  <c r="R74" i="4" s="1"/>
  <c r="S74" i="4" s="1"/>
  <c r="P75" i="4" s="1"/>
  <c r="R75" i="4" s="1"/>
  <c r="S75" i="4" s="1"/>
  <c r="P76" i="4" s="1"/>
  <c r="R76" i="4" s="1"/>
  <c r="S76" i="4" s="1"/>
  <c r="P77" i="4" s="1"/>
  <c r="R77" i="4" s="1"/>
  <c r="S77" i="4" s="1"/>
  <c r="P78" i="4" s="1"/>
  <c r="R78" i="4" s="1"/>
  <c r="S78" i="4" s="1"/>
  <c r="P79" i="4" s="1"/>
  <c r="R79" i="4" s="1"/>
  <c r="S79" i="4" s="1"/>
  <c r="P80" i="4" s="1"/>
  <c r="R80" i="4" s="1"/>
  <c r="S80" i="4" s="1"/>
  <c r="P81" i="4" s="1"/>
  <c r="R81" i="4" s="1"/>
  <c r="S81" i="4" s="1"/>
  <c r="P82" i="4" s="1"/>
  <c r="R82" i="4" s="1"/>
  <c r="S82" i="4" s="1"/>
  <c r="P83" i="4" s="1"/>
  <c r="R83" i="4" s="1"/>
  <c r="S83" i="4" s="1"/>
  <c r="P84" i="4" s="1"/>
  <c r="R84" i="4" s="1"/>
  <c r="S84" i="4" s="1"/>
  <c r="P85" i="4" s="1"/>
  <c r="R85" i="4" s="1"/>
  <c r="S85" i="4" s="1"/>
  <c r="P86" i="4" s="1"/>
  <c r="R86" i="4" s="1"/>
  <c r="S86" i="4" s="1"/>
  <c r="P87" i="4" s="1"/>
  <c r="R87" i="4" s="1"/>
  <c r="S87" i="4" s="1"/>
  <c r="P88" i="4" s="1"/>
  <c r="R88" i="4" s="1"/>
  <c r="S88" i="4" s="1"/>
  <c r="P89" i="4" s="1"/>
  <c r="R89" i="4" s="1"/>
  <c r="S89" i="4" s="1"/>
  <c r="P90" i="4" s="1"/>
  <c r="R90" i="4" s="1"/>
  <c r="S90" i="4" s="1"/>
  <c r="P91" i="4" s="1"/>
  <c r="R91" i="4" s="1"/>
  <c r="S91" i="4" s="1"/>
  <c r="P92" i="4" s="1"/>
  <c r="R92" i="4" s="1"/>
  <c r="S92" i="4" s="1"/>
  <c r="P93" i="4" s="1"/>
  <c r="R93" i="4" s="1"/>
  <c r="S93" i="4" s="1"/>
  <c r="P94" i="4" s="1"/>
  <c r="R94" i="4" s="1"/>
  <c r="S94" i="4" s="1"/>
  <c r="P95" i="4" s="1"/>
  <c r="R95" i="4" s="1"/>
  <c r="S95" i="4" s="1"/>
  <c r="P96" i="4" s="1"/>
  <c r="R96" i="4" s="1"/>
  <c r="S96" i="4" s="1"/>
  <c r="P97" i="4" s="1"/>
  <c r="R97" i="4" s="1"/>
  <c r="S97" i="4" s="1"/>
  <c r="P98" i="4" s="1"/>
  <c r="R98" i="4" s="1"/>
  <c r="S98" i="4" s="1"/>
  <c r="P99" i="4" s="1"/>
  <c r="R99" i="4" s="1"/>
  <c r="S99" i="4" s="1"/>
  <c r="P100" i="4" s="1"/>
  <c r="R100" i="4" s="1"/>
  <c r="S100" i="4" s="1"/>
  <c r="P101" i="4" s="1"/>
  <c r="R101" i="4" s="1"/>
  <c r="S101" i="4" s="1"/>
  <c r="P102" i="4" s="1"/>
  <c r="R102" i="4" s="1"/>
  <c r="S102" i="4" s="1"/>
  <c r="P103" i="4" s="1"/>
  <c r="R103" i="4" s="1"/>
  <c r="S103" i="4" s="1"/>
  <c r="P104" i="4" s="1"/>
  <c r="R104" i="4" s="1"/>
  <c r="S104" i="4" s="1"/>
  <c r="P105" i="4" s="1"/>
  <c r="R105" i="4" s="1"/>
  <c r="S105" i="4" s="1"/>
  <c r="P106" i="4" s="1"/>
  <c r="R106" i="4" s="1"/>
  <c r="S106" i="4" s="1"/>
  <c r="P107" i="4" s="1"/>
  <c r="R107" i="4" s="1"/>
  <c r="S107" i="4" s="1"/>
  <c r="P108" i="4" s="1"/>
  <c r="R108" i="4" s="1"/>
  <c r="S108" i="4" s="1"/>
  <c r="P109" i="4" s="1"/>
  <c r="R109" i="4" s="1"/>
  <c r="S109" i="4" s="1"/>
  <c r="P110" i="4" s="1"/>
  <c r="R110" i="4" s="1"/>
  <c r="S110" i="4" s="1"/>
  <c r="P111" i="4" s="1"/>
  <c r="R111" i="4" s="1"/>
  <c r="S111" i="4" s="1"/>
  <c r="P112" i="4" s="1"/>
  <c r="R112" i="4" s="1"/>
  <c r="S112" i="4" s="1"/>
  <c r="P113" i="4" s="1"/>
  <c r="R113" i="4" s="1"/>
  <c r="S113" i="4" s="1"/>
  <c r="P114" i="4" s="1"/>
  <c r="R114" i="4" s="1"/>
  <c r="S114" i="4" s="1"/>
  <c r="P115" i="4" s="1"/>
  <c r="R115" i="4" s="1"/>
  <c r="S115" i="4" s="1"/>
  <c r="P116" i="4" s="1"/>
  <c r="R116" i="4" s="1"/>
  <c r="S116" i="4" s="1"/>
  <c r="P117" i="4" s="1"/>
  <c r="R117" i="4" s="1"/>
  <c r="S117" i="4" s="1"/>
  <c r="P118" i="4" s="1"/>
  <c r="R118" i="4" s="1"/>
  <c r="S118" i="4" s="1"/>
  <c r="P119" i="4" s="1"/>
  <c r="R119" i="4" s="1"/>
  <c r="S119" i="4" s="1"/>
  <c r="P120" i="4" s="1"/>
  <c r="R120" i="4" s="1"/>
  <c r="S120" i="4" s="1"/>
  <c r="P121" i="4" s="1"/>
  <c r="R121" i="4" s="1"/>
  <c r="S121" i="4" s="1"/>
  <c r="P122" i="4" s="1"/>
  <c r="R122" i="4" s="1"/>
  <c r="S122" i="4" s="1"/>
  <c r="P123" i="4" s="1"/>
  <c r="R123" i="4" s="1"/>
  <c r="S123" i="4" s="1"/>
  <c r="P124" i="4" s="1"/>
  <c r="R124" i="4" s="1"/>
  <c r="S124" i="4" s="1"/>
  <c r="P125" i="4" s="1"/>
  <c r="R125" i="4" s="1"/>
  <c r="S125" i="4" s="1"/>
  <c r="P126" i="4" s="1"/>
  <c r="R126" i="4" s="1"/>
  <c r="S126" i="4" s="1"/>
  <c r="P127" i="4" s="1"/>
  <c r="R127" i="4" s="1"/>
  <c r="S127" i="4" s="1"/>
  <c r="P128" i="4" s="1"/>
  <c r="E46" i="4"/>
  <c r="D43" i="5"/>
  <c r="J56" i="5"/>
  <c r="L56" i="5" s="1"/>
  <c r="M56" i="5" s="1"/>
  <c r="J57" i="5" s="1"/>
  <c r="L57" i="5" s="1"/>
  <c r="M57" i="5" s="1"/>
  <c r="J58" i="5" s="1"/>
  <c r="L58" i="5" s="1"/>
  <c r="M58" i="5" s="1"/>
  <c r="J59" i="5" s="1"/>
  <c r="L59" i="5" s="1"/>
  <c r="M59" i="5" s="1"/>
  <c r="J60" i="5" s="1"/>
  <c r="L60" i="5" s="1"/>
  <c r="M60" i="5" s="1"/>
  <c r="J61" i="5" s="1"/>
  <c r="L61" i="5" s="1"/>
  <c r="M61" i="5" s="1"/>
  <c r="J62" i="5" s="1"/>
  <c r="L62" i="5" s="1"/>
  <c r="M62" i="5" s="1"/>
  <c r="J63" i="5" s="1"/>
  <c r="L63" i="5" s="1"/>
  <c r="M63" i="5" s="1"/>
  <c r="J64" i="5" s="1"/>
  <c r="L64" i="5" s="1"/>
  <c r="M64" i="5" s="1"/>
  <c r="J65" i="5" s="1"/>
  <c r="L65" i="5" s="1"/>
  <c r="M65" i="5" s="1"/>
  <c r="J66" i="5" s="1"/>
  <c r="L66" i="5" s="1"/>
  <c r="M66" i="5" s="1"/>
  <c r="J67" i="5" s="1"/>
  <c r="L67" i="5" s="1"/>
  <c r="M67" i="5" s="1"/>
  <c r="J68" i="5" s="1"/>
  <c r="L68" i="5" s="1"/>
  <c r="M68" i="5" s="1"/>
  <c r="J69" i="5" s="1"/>
  <c r="L69" i="5" s="1"/>
  <c r="M69" i="5" s="1"/>
  <c r="J70" i="5" s="1"/>
  <c r="L70" i="5" s="1"/>
  <c r="M70" i="5" s="1"/>
  <c r="J71" i="5" s="1"/>
  <c r="L71" i="5" s="1"/>
  <c r="M71" i="5" s="1"/>
  <c r="J72" i="5" s="1"/>
  <c r="L72" i="5" s="1"/>
  <c r="M72" i="5" s="1"/>
  <c r="J73" i="5" s="1"/>
  <c r="L73" i="5" s="1"/>
  <c r="M73" i="5" s="1"/>
  <c r="J74" i="5" s="1"/>
  <c r="L74" i="5" s="1"/>
  <c r="M74" i="5" s="1"/>
  <c r="J75" i="5" s="1"/>
  <c r="L75" i="5" s="1"/>
  <c r="M75" i="5" s="1"/>
  <c r="J76" i="5" s="1"/>
  <c r="L76" i="5" s="1"/>
  <c r="M76" i="5" s="1"/>
  <c r="J77" i="5" s="1"/>
  <c r="L77" i="5" s="1"/>
  <c r="M77" i="5" s="1"/>
  <c r="J78" i="5" s="1"/>
  <c r="L78" i="5" s="1"/>
  <c r="M78" i="5" s="1"/>
  <c r="J79" i="5" s="1"/>
  <c r="L79" i="5" s="1"/>
  <c r="M79" i="5" s="1"/>
  <c r="J80" i="5" s="1"/>
  <c r="L80" i="5" s="1"/>
  <c r="M80" i="5" s="1"/>
  <c r="J81" i="5" s="1"/>
  <c r="L81" i="5" s="1"/>
  <c r="M81" i="5" s="1"/>
  <c r="J82" i="5" s="1"/>
  <c r="L82" i="5" s="1"/>
  <c r="M82" i="5" s="1"/>
  <c r="J83" i="5" s="1"/>
  <c r="L83" i="5" s="1"/>
  <c r="M83" i="5" s="1"/>
  <c r="J84" i="5" s="1"/>
  <c r="L84" i="5" s="1"/>
  <c r="M84" i="5" s="1"/>
  <c r="J85" i="5" s="1"/>
  <c r="L85" i="5" s="1"/>
  <c r="M85" i="5" s="1"/>
  <c r="J86" i="5" s="1"/>
  <c r="L86" i="5" s="1"/>
  <c r="M86" i="5" s="1"/>
  <c r="J87" i="5" s="1"/>
  <c r="L87" i="5" s="1"/>
  <c r="M87" i="5" s="1"/>
  <c r="J88" i="5" s="1"/>
  <c r="L88" i="5" s="1"/>
  <c r="M88" i="5" s="1"/>
  <c r="J89" i="5" s="1"/>
  <c r="L89" i="5" s="1"/>
  <c r="M89" i="5" s="1"/>
  <c r="J90" i="5" s="1"/>
  <c r="L90" i="5" s="1"/>
  <c r="M90" i="5" s="1"/>
  <c r="J91" i="5" s="1"/>
  <c r="L91" i="5" s="1"/>
  <c r="M91" i="5" s="1"/>
  <c r="J92" i="5" s="1"/>
  <c r="E46" i="5"/>
  <c r="P56" i="5"/>
  <c r="R56" i="5" s="1"/>
  <c r="S56" i="5" s="1"/>
  <c r="P57" i="5" s="1"/>
  <c r="R57" i="5" s="1"/>
  <c r="S57" i="5" s="1"/>
  <c r="P58" i="5" s="1"/>
  <c r="R58" i="5" s="1"/>
  <c r="S58" i="5" s="1"/>
  <c r="P59" i="5" s="1"/>
  <c r="R59" i="5" s="1"/>
  <c r="S59" i="5" s="1"/>
  <c r="P60" i="5" s="1"/>
  <c r="R60" i="5" s="1"/>
  <c r="S60" i="5" s="1"/>
  <c r="P61" i="5" s="1"/>
  <c r="R61" i="5" s="1"/>
  <c r="S61" i="5" s="1"/>
  <c r="P62" i="5" s="1"/>
  <c r="R62" i="5" s="1"/>
  <c r="S62" i="5" s="1"/>
  <c r="P63" i="5" s="1"/>
  <c r="R63" i="5" s="1"/>
  <c r="S63" i="5" s="1"/>
  <c r="P64" i="5" s="1"/>
  <c r="R64" i="5" s="1"/>
  <c r="S64" i="5" s="1"/>
  <c r="P65" i="5" s="1"/>
  <c r="R65" i="5" s="1"/>
  <c r="S65" i="5" s="1"/>
  <c r="P66" i="5" s="1"/>
  <c r="R66" i="5" s="1"/>
  <c r="S66" i="5" s="1"/>
  <c r="P67" i="5" s="1"/>
  <c r="R67" i="5" s="1"/>
  <c r="S67" i="5" s="1"/>
  <c r="P68" i="5" s="1"/>
  <c r="R68" i="5" s="1"/>
  <c r="S68" i="5" s="1"/>
  <c r="P69" i="5" s="1"/>
  <c r="R69" i="5" s="1"/>
  <c r="S69" i="5" s="1"/>
  <c r="P70" i="5" s="1"/>
  <c r="R70" i="5" s="1"/>
  <c r="S70" i="5" s="1"/>
  <c r="P71" i="5" s="1"/>
  <c r="R71" i="5" s="1"/>
  <c r="S71" i="5" s="1"/>
  <c r="P72" i="5" s="1"/>
  <c r="R72" i="5" s="1"/>
  <c r="S72" i="5" s="1"/>
  <c r="P73" i="5" s="1"/>
  <c r="R73" i="5" s="1"/>
  <c r="S73" i="5" s="1"/>
  <c r="P74" i="5" s="1"/>
  <c r="R74" i="5" s="1"/>
  <c r="S74" i="5" s="1"/>
  <c r="P75" i="5" s="1"/>
  <c r="R75" i="5" s="1"/>
  <c r="S75" i="5" s="1"/>
  <c r="P76" i="5" s="1"/>
  <c r="R76" i="5" s="1"/>
  <c r="S76" i="5" s="1"/>
  <c r="P77" i="5" s="1"/>
  <c r="R77" i="5" s="1"/>
  <c r="S77" i="5" s="1"/>
  <c r="P78" i="5" s="1"/>
  <c r="R78" i="5" s="1"/>
  <c r="S78" i="5" s="1"/>
  <c r="P79" i="5" s="1"/>
  <c r="R79" i="5" s="1"/>
  <c r="S79" i="5" s="1"/>
  <c r="P80" i="5" s="1"/>
  <c r="R80" i="5" s="1"/>
  <c r="S80" i="5" s="1"/>
  <c r="P81" i="5" s="1"/>
  <c r="R81" i="5" s="1"/>
  <c r="S81" i="5" s="1"/>
  <c r="P82" i="5" s="1"/>
  <c r="R82" i="5" s="1"/>
  <c r="S82" i="5" s="1"/>
  <c r="P83" i="5" s="1"/>
  <c r="R83" i="5" s="1"/>
  <c r="S83" i="5" s="1"/>
  <c r="P84" i="5" s="1"/>
  <c r="R84" i="5" s="1"/>
  <c r="S84" i="5" s="1"/>
  <c r="P85" i="5" s="1"/>
  <c r="R85" i="5" s="1"/>
  <c r="S85" i="5" s="1"/>
  <c r="P86" i="5" s="1"/>
  <c r="R86" i="5" s="1"/>
  <c r="S86" i="5" s="1"/>
  <c r="P87" i="5" s="1"/>
  <c r="R87" i="5" s="1"/>
  <c r="S87" i="5" s="1"/>
  <c r="P88" i="5" s="1"/>
  <c r="R88" i="5" s="1"/>
  <c r="S88" i="5" s="1"/>
  <c r="P89" i="5" s="1"/>
  <c r="R89" i="5" s="1"/>
  <c r="S89" i="5" s="1"/>
  <c r="P90" i="5" s="1"/>
  <c r="R90" i="5" s="1"/>
  <c r="S90" i="5" s="1"/>
  <c r="P91" i="5" s="1"/>
  <c r="R91" i="5" s="1"/>
  <c r="S91" i="5" s="1"/>
  <c r="P92" i="5" s="1"/>
  <c r="R92" i="5" s="1"/>
  <c r="S92" i="5" s="1"/>
  <c r="P93" i="5" s="1"/>
  <c r="R93" i="5" s="1"/>
  <c r="S93" i="5" s="1"/>
  <c r="P94" i="5" s="1"/>
  <c r="R94" i="5" s="1"/>
  <c r="S94" i="5" s="1"/>
  <c r="P95" i="5" s="1"/>
  <c r="R95" i="5" s="1"/>
  <c r="S95" i="5" s="1"/>
  <c r="P96" i="5" s="1"/>
  <c r="R96" i="5" s="1"/>
  <c r="S96" i="5" s="1"/>
  <c r="P97" i="5" s="1"/>
  <c r="R97" i="5" s="1"/>
  <c r="S97" i="5" s="1"/>
  <c r="P98" i="5" s="1"/>
  <c r="R98" i="5" s="1"/>
  <c r="S98" i="5" s="1"/>
  <c r="P99" i="5" s="1"/>
  <c r="R99" i="5" s="1"/>
  <c r="S99" i="5" s="1"/>
  <c r="P100" i="5" s="1"/>
  <c r="R100" i="5" s="1"/>
  <c r="S100" i="5" s="1"/>
  <c r="P101" i="5" s="1"/>
  <c r="R101" i="5" s="1"/>
  <c r="S101" i="5" s="1"/>
  <c r="P102" i="5" s="1"/>
  <c r="R102" i="5" s="1"/>
  <c r="S102" i="5" s="1"/>
  <c r="P103" i="5" s="1"/>
  <c r="R103" i="5" s="1"/>
  <c r="S103" i="5" s="1"/>
  <c r="P104" i="5" s="1"/>
  <c r="R104" i="5" s="1"/>
  <c r="S104" i="5" s="1"/>
  <c r="P105" i="5" s="1"/>
  <c r="R105" i="5" s="1"/>
  <c r="S105" i="5" s="1"/>
  <c r="P106" i="5" s="1"/>
  <c r="R106" i="5" s="1"/>
  <c r="S106" i="5" s="1"/>
  <c r="P107" i="5" s="1"/>
  <c r="R107" i="5" s="1"/>
  <c r="S107" i="5" s="1"/>
  <c r="P108" i="5" s="1"/>
  <c r="R108" i="5" s="1"/>
  <c r="S108" i="5" s="1"/>
  <c r="P109" i="5" s="1"/>
  <c r="R109" i="5" s="1"/>
  <c r="S109" i="5" s="1"/>
  <c r="P110" i="5" s="1"/>
  <c r="R110" i="5" s="1"/>
  <c r="S110" i="5" s="1"/>
  <c r="P111" i="5" s="1"/>
  <c r="R111" i="5" s="1"/>
  <c r="S111" i="5" s="1"/>
  <c r="P112" i="5" s="1"/>
  <c r="R112" i="5" s="1"/>
  <c r="S112" i="5" s="1"/>
  <c r="P113" i="5" s="1"/>
  <c r="R113" i="5" s="1"/>
  <c r="S113" i="5" s="1"/>
  <c r="P114" i="5" s="1"/>
  <c r="R114" i="5" s="1"/>
  <c r="S114" i="5" s="1"/>
  <c r="P115" i="5" s="1"/>
  <c r="R115" i="5" s="1"/>
  <c r="S115" i="5" s="1"/>
  <c r="P116" i="5" s="1"/>
  <c r="R116" i="5" s="1"/>
  <c r="S116" i="5" s="1"/>
  <c r="P117" i="5" s="1"/>
  <c r="R117" i="5" s="1"/>
  <c r="S117" i="5" s="1"/>
  <c r="P118" i="5" s="1"/>
  <c r="R118" i="5" s="1"/>
  <c r="S118" i="5" s="1"/>
  <c r="P119" i="5" s="1"/>
  <c r="R119" i="5" s="1"/>
  <c r="S119" i="5" s="1"/>
  <c r="P120" i="5" s="1"/>
  <c r="R120" i="5" s="1"/>
  <c r="S120" i="5" s="1"/>
  <c r="P121" i="5" s="1"/>
  <c r="R121" i="5" s="1"/>
  <c r="S121" i="5" s="1"/>
  <c r="P122" i="5" s="1"/>
  <c r="R122" i="5" s="1"/>
  <c r="S122" i="5" s="1"/>
  <c r="P123" i="5" s="1"/>
  <c r="R123" i="5" s="1"/>
  <c r="S123" i="5" s="1"/>
  <c r="P124" i="5" s="1"/>
  <c r="R124" i="5" s="1"/>
  <c r="S124" i="5" s="1"/>
  <c r="P125" i="5" s="1"/>
  <c r="R125" i="5" s="1"/>
  <c r="S125" i="5" s="1"/>
  <c r="P126" i="5" s="1"/>
  <c r="R126" i="5" s="1"/>
  <c r="S126" i="5" s="1"/>
  <c r="P127" i="5" s="1"/>
  <c r="R127" i="5" s="1"/>
  <c r="S127" i="5" s="1"/>
  <c r="P128" i="5" s="1"/>
  <c r="J56" i="4"/>
  <c r="L56" i="4" s="1"/>
  <c r="M56" i="4" s="1"/>
  <c r="J57" i="4" s="1"/>
  <c r="L57" i="4" s="1"/>
  <c r="M57" i="4" s="1"/>
  <c r="J58" i="4" s="1"/>
  <c r="L58" i="4" s="1"/>
  <c r="M58" i="4" s="1"/>
  <c r="J59" i="4" s="1"/>
  <c r="L59" i="4" s="1"/>
  <c r="M59" i="4" s="1"/>
  <c r="J60" i="4" s="1"/>
  <c r="L60" i="4" s="1"/>
  <c r="M60" i="4" s="1"/>
  <c r="J61" i="4" s="1"/>
  <c r="L61" i="4" s="1"/>
  <c r="M61" i="4" s="1"/>
  <c r="J62" i="4" s="1"/>
  <c r="L62" i="4" s="1"/>
  <c r="M62" i="4" s="1"/>
  <c r="J63" i="4" s="1"/>
  <c r="L63" i="4" s="1"/>
  <c r="M63" i="4" s="1"/>
  <c r="J64" i="4" s="1"/>
  <c r="L64" i="4" s="1"/>
  <c r="M64" i="4" s="1"/>
  <c r="J65" i="4" s="1"/>
  <c r="L65" i="4" s="1"/>
  <c r="M65" i="4" s="1"/>
  <c r="J66" i="4" s="1"/>
  <c r="L66" i="4" s="1"/>
  <c r="M66" i="4" s="1"/>
  <c r="J67" i="4" s="1"/>
  <c r="L67" i="4" s="1"/>
  <c r="M67" i="4" s="1"/>
  <c r="J68" i="4" s="1"/>
  <c r="L68" i="4" s="1"/>
  <c r="M68" i="4" s="1"/>
  <c r="J69" i="4" s="1"/>
  <c r="L69" i="4" s="1"/>
  <c r="M69" i="4" s="1"/>
  <c r="J70" i="4" s="1"/>
  <c r="L70" i="4" s="1"/>
  <c r="M70" i="4" s="1"/>
  <c r="J71" i="4" s="1"/>
  <c r="L71" i="4" s="1"/>
  <c r="M71" i="4" s="1"/>
  <c r="J72" i="4" s="1"/>
  <c r="L72" i="4" s="1"/>
  <c r="M72" i="4" s="1"/>
  <c r="J73" i="4" s="1"/>
  <c r="L73" i="4" s="1"/>
  <c r="M73" i="4" s="1"/>
  <c r="J74" i="4" s="1"/>
  <c r="L74" i="4" s="1"/>
  <c r="M74" i="4" s="1"/>
  <c r="J75" i="4" s="1"/>
  <c r="L75" i="4" s="1"/>
  <c r="M75" i="4" s="1"/>
  <c r="J76" i="4" s="1"/>
  <c r="L76" i="4" s="1"/>
  <c r="M76" i="4" s="1"/>
  <c r="J77" i="4" s="1"/>
  <c r="L77" i="4" s="1"/>
  <c r="M77" i="4" s="1"/>
  <c r="J78" i="4" s="1"/>
  <c r="L78" i="4" s="1"/>
  <c r="M78" i="4" s="1"/>
  <c r="J79" i="4" s="1"/>
  <c r="L79" i="4" s="1"/>
  <c r="M79" i="4" s="1"/>
  <c r="J80" i="4" s="1"/>
  <c r="L80" i="4" s="1"/>
  <c r="M80" i="4" s="1"/>
  <c r="J81" i="4" s="1"/>
  <c r="L81" i="4" s="1"/>
  <c r="M81" i="4" s="1"/>
  <c r="J82" i="4" s="1"/>
  <c r="L82" i="4" s="1"/>
  <c r="M82" i="4" s="1"/>
  <c r="J83" i="4" s="1"/>
  <c r="L83" i="4" s="1"/>
  <c r="M83" i="4" s="1"/>
  <c r="J84" i="4" s="1"/>
  <c r="L84" i="4" s="1"/>
  <c r="M84" i="4" s="1"/>
  <c r="J85" i="4" s="1"/>
  <c r="L85" i="4" s="1"/>
  <c r="M85" i="4" s="1"/>
  <c r="J86" i="4" s="1"/>
  <c r="L86" i="4" s="1"/>
  <c r="M86" i="4" s="1"/>
  <c r="J87" i="4" s="1"/>
  <c r="L87" i="4" s="1"/>
  <c r="M87" i="4" s="1"/>
  <c r="J88" i="4" s="1"/>
  <c r="L88" i="4" s="1"/>
  <c r="M88" i="4" s="1"/>
  <c r="J89" i="4" s="1"/>
  <c r="L89" i="4" s="1"/>
  <c r="M89" i="4" s="1"/>
  <c r="J90" i="4" s="1"/>
  <c r="L90" i="4" s="1"/>
  <c r="M90" i="4" s="1"/>
  <c r="J91" i="4" s="1"/>
  <c r="L91" i="4" s="1"/>
  <c r="M91" i="4" s="1"/>
  <c r="J92" i="4" s="1"/>
  <c r="D43" i="4"/>
  <c r="X176" i="4"/>
  <c r="Y176" i="4" s="1"/>
  <c r="V177" i="4" s="1"/>
  <c r="X177" i="4" s="1"/>
  <c r="Y177" i="4" s="1"/>
  <c r="V178" i="4" s="1"/>
  <c r="X178" i="4" s="1"/>
  <c r="Y178" i="4" s="1"/>
  <c r="V179" i="4" s="1"/>
  <c r="X179" i="4" s="1"/>
  <c r="Y179" i="4" s="1"/>
  <c r="V180" i="4" s="1"/>
  <c r="X180" i="4" s="1"/>
  <c r="Y180" i="4" s="1"/>
  <c r="V181" i="4" s="1"/>
  <c r="X181" i="4" s="1"/>
  <c r="Y181" i="4" s="1"/>
  <c r="V182" i="4" s="1"/>
  <c r="X182" i="4" s="1"/>
  <c r="Y182" i="4" s="1"/>
  <c r="V183" i="4" s="1"/>
  <c r="X183" i="4" s="1"/>
  <c r="Y183" i="4" s="1"/>
  <c r="V184" i="4" s="1"/>
  <c r="X184" i="4" s="1"/>
  <c r="Y184" i="4" s="1"/>
  <c r="V185" i="4" s="1"/>
  <c r="X185" i="4" s="1"/>
  <c r="Y185" i="4" s="1"/>
  <c r="V186" i="4" s="1"/>
  <c r="X186" i="4" s="1"/>
  <c r="Y186" i="4" s="1"/>
  <c r="V187" i="4" s="1"/>
  <c r="X187" i="4" s="1"/>
  <c r="Y187" i="4" s="1"/>
  <c r="V188" i="4" s="1"/>
  <c r="X188" i="4" s="1"/>
  <c r="Y188" i="4" s="1"/>
  <c r="V189" i="4" s="1"/>
  <c r="X189" i="4" s="1"/>
  <c r="Y189" i="4" s="1"/>
  <c r="V190" i="4" s="1"/>
  <c r="X190" i="4" s="1"/>
  <c r="Y190" i="4" s="1"/>
  <c r="V191" i="4" s="1"/>
  <c r="X191" i="4" s="1"/>
  <c r="Y191" i="4" s="1"/>
  <c r="V192" i="4" s="1"/>
  <c r="X192" i="4" s="1"/>
  <c r="Y192" i="4" s="1"/>
  <c r="V193" i="4" s="1"/>
  <c r="X193" i="4" s="1"/>
  <c r="Y193" i="4" s="1"/>
  <c r="V194" i="4" s="1"/>
  <c r="X194" i="4" s="1"/>
  <c r="Y194" i="4" s="1"/>
  <c r="V195" i="4" s="1"/>
  <c r="X195" i="4" s="1"/>
  <c r="Y195" i="4" s="1"/>
  <c r="V196" i="4" s="1"/>
  <c r="X196" i="4" s="1"/>
  <c r="Y196" i="4" s="1"/>
  <c r="V197" i="4" s="1"/>
  <c r="X197" i="4" s="1"/>
  <c r="Y197" i="4" s="1"/>
  <c r="V198" i="4" s="1"/>
  <c r="X198" i="4" s="1"/>
  <c r="Y198" i="4" s="1"/>
  <c r="V199" i="4" s="1"/>
  <c r="X199" i="4" s="1"/>
  <c r="Y199" i="4" s="1"/>
  <c r="V200" i="4" s="1"/>
  <c r="X200" i="4" s="1"/>
  <c r="Y200" i="4" s="1"/>
  <c r="V201" i="4" s="1"/>
  <c r="X201" i="4" s="1"/>
  <c r="Y201" i="4" s="1"/>
  <c r="V202" i="4" s="1"/>
  <c r="X202" i="4" s="1"/>
  <c r="Y202" i="4" s="1"/>
  <c r="V203" i="4" s="1"/>
  <c r="X203" i="4" s="1"/>
  <c r="Y203" i="4" s="1"/>
  <c r="V204" i="4" s="1"/>
  <c r="X204" i="4" s="1"/>
  <c r="Y204" i="4" s="1"/>
  <c r="V205" i="4" s="1"/>
  <c r="X205" i="4" s="1"/>
  <c r="Y205" i="4" s="1"/>
  <c r="V206" i="4" s="1"/>
  <c r="X206" i="4" s="1"/>
  <c r="Y206" i="4" s="1"/>
  <c r="V207" i="4" s="1"/>
  <c r="X207" i="4" s="1"/>
  <c r="Y207" i="4" s="1"/>
  <c r="V208" i="4" s="1"/>
  <c r="X208" i="4" s="1"/>
  <c r="Y208" i="4" s="1"/>
  <c r="V209" i="4" s="1"/>
  <c r="X209" i="4" s="1"/>
  <c r="Y209" i="4" s="1"/>
  <c r="V210" i="4" s="1"/>
  <c r="X210" i="4" s="1"/>
  <c r="Y210" i="4" s="1"/>
  <c r="V211" i="4" s="1"/>
  <c r="X211" i="4" s="1"/>
  <c r="Y211" i="4" s="1"/>
  <c r="V212" i="4" s="1"/>
  <c r="X212" i="4" s="1"/>
  <c r="Y212" i="4" s="1"/>
  <c r="V213" i="4" s="1"/>
  <c r="X213" i="4" s="1"/>
  <c r="Y213" i="4" s="1"/>
  <c r="V214" i="4" s="1"/>
  <c r="X214" i="4" s="1"/>
  <c r="Y214" i="4" s="1"/>
  <c r="V215" i="4" s="1"/>
  <c r="X215" i="4" s="1"/>
  <c r="Y215" i="4" s="1"/>
  <c r="V216" i="4" s="1"/>
  <c r="X216" i="4" s="1"/>
  <c r="Y216" i="4" s="1"/>
  <c r="V217" i="4" s="1"/>
  <c r="X217" i="4" s="1"/>
  <c r="Y217" i="4" s="1"/>
  <c r="V218" i="4" s="1"/>
  <c r="X218" i="4" s="1"/>
  <c r="Y218" i="4" s="1"/>
  <c r="V219" i="4" s="1"/>
  <c r="X219" i="4" s="1"/>
  <c r="Y219" i="4" s="1"/>
  <c r="V220" i="4" s="1"/>
  <c r="X220" i="4" s="1"/>
  <c r="Y220" i="4" s="1"/>
  <c r="V221" i="4" s="1"/>
  <c r="X221" i="4" s="1"/>
  <c r="Y221" i="4" s="1"/>
  <c r="V222" i="4" s="1"/>
  <c r="X222" i="4" s="1"/>
  <c r="Y222" i="4" s="1"/>
  <c r="V223" i="4" s="1"/>
  <c r="X223" i="4" s="1"/>
  <c r="Y223" i="4" s="1"/>
  <c r="V224" i="4" s="1"/>
  <c r="X224" i="4" s="1"/>
  <c r="Y224" i="4" s="1"/>
  <c r="V225" i="4" s="1"/>
  <c r="X225" i="4" s="1"/>
  <c r="Y225" i="4" s="1"/>
  <c r="V226" i="4" s="1"/>
  <c r="X226" i="4" s="1"/>
  <c r="Y226" i="4" s="1"/>
  <c r="V227" i="4" s="1"/>
  <c r="X227" i="4" s="1"/>
  <c r="Y227" i="4" s="1"/>
  <c r="V228" i="4" s="1"/>
  <c r="X228" i="4" s="1"/>
  <c r="Y228" i="4" s="1"/>
  <c r="V229" i="4" s="1"/>
  <c r="X229" i="4" s="1"/>
  <c r="Y229" i="4" s="1"/>
  <c r="V230" i="4" s="1"/>
  <c r="X230" i="4" s="1"/>
  <c r="Y230" i="4" s="1"/>
  <c r="V231" i="4" s="1"/>
  <c r="X231" i="4" s="1"/>
  <c r="Y231" i="4" s="1"/>
  <c r="V232" i="4" s="1"/>
  <c r="X232" i="4" s="1"/>
  <c r="Y232" i="4" s="1"/>
  <c r="V233" i="4" s="1"/>
  <c r="X233" i="4" s="1"/>
  <c r="Y233" i="4" s="1"/>
  <c r="V234" i="4" s="1"/>
  <c r="X234" i="4" s="1"/>
  <c r="Y234" i="4" s="1"/>
  <c r="V235" i="4" s="1"/>
  <c r="X235" i="4" s="1"/>
  <c r="Y235" i="4" s="1"/>
  <c r="V236" i="4" s="1"/>
  <c r="X236" i="4" s="1"/>
  <c r="Y236" i="4" s="1"/>
  <c r="V237" i="4" s="1"/>
  <c r="X237" i="4" s="1"/>
  <c r="Y237" i="4" s="1"/>
  <c r="V238" i="4" s="1"/>
  <c r="X238" i="4" s="1"/>
  <c r="Y238" i="4" s="1"/>
  <c r="V239" i="4" s="1"/>
  <c r="X239" i="4" s="1"/>
  <c r="Y239" i="4" s="1"/>
  <c r="V240" i="4" s="1"/>
  <c r="X240" i="4" s="1"/>
  <c r="Y240" i="4" s="1"/>
  <c r="V241" i="4" s="1"/>
  <c r="X241" i="4" s="1"/>
  <c r="Y241" i="4" s="1"/>
  <c r="V242" i="4" s="1"/>
  <c r="X242" i="4" s="1"/>
  <c r="Y242" i="4" s="1"/>
  <c r="V243" i="4" s="1"/>
  <c r="X243" i="4" s="1"/>
  <c r="Y243" i="4" s="1"/>
  <c r="V244" i="4" s="1"/>
  <c r="X244" i="4" s="1"/>
  <c r="Y244" i="4" s="1"/>
  <c r="V245" i="4" s="1"/>
  <c r="X245" i="4" s="1"/>
  <c r="Y245" i="4" s="1"/>
  <c r="V246" i="4" s="1"/>
  <c r="X246" i="4" s="1"/>
  <c r="Y246" i="4" s="1"/>
  <c r="V247" i="4" s="1"/>
  <c r="X247" i="4" s="1"/>
  <c r="Y247" i="4" s="1"/>
  <c r="V248" i="4" s="1"/>
  <c r="X248" i="4" s="1"/>
  <c r="Y248" i="4" s="1"/>
  <c r="V249" i="4" s="1"/>
  <c r="X249" i="4" s="1"/>
  <c r="Y249" i="4" s="1"/>
  <c r="V250" i="4" s="1"/>
  <c r="X250" i="4" s="1"/>
  <c r="Y250" i="4" s="1"/>
  <c r="V251" i="4" s="1"/>
  <c r="X251" i="4" s="1"/>
  <c r="Y251" i="4" s="1"/>
  <c r="V252" i="4" s="1"/>
  <c r="X252" i="4" s="1"/>
  <c r="Y252" i="4" s="1"/>
  <c r="V253" i="4" s="1"/>
  <c r="X253" i="4" s="1"/>
  <c r="Y253" i="4" s="1"/>
  <c r="V254" i="4" s="1"/>
  <c r="X254" i="4" s="1"/>
  <c r="Y254" i="4" s="1"/>
  <c r="V255" i="4" s="1"/>
  <c r="X255" i="4" s="1"/>
  <c r="Y255" i="4" s="1"/>
  <c r="V256" i="4" s="1"/>
  <c r="X256" i="4" s="1"/>
  <c r="Y256" i="4" s="1"/>
  <c r="V257" i="4" s="1"/>
  <c r="X257" i="4" s="1"/>
  <c r="Y257" i="4" s="1"/>
  <c r="V258" i="4" s="1"/>
  <c r="X258" i="4" s="1"/>
  <c r="Y258" i="4" s="1"/>
  <c r="V259" i="4" s="1"/>
  <c r="X259" i="4" s="1"/>
  <c r="Y259" i="4" s="1"/>
  <c r="V260" i="4" s="1"/>
  <c r="X260" i="4" s="1"/>
  <c r="Y260" i="4" s="1"/>
  <c r="V261" i="4" s="1"/>
  <c r="X261" i="4" s="1"/>
  <c r="Y261" i="4" s="1"/>
  <c r="V262" i="4" s="1"/>
  <c r="X262" i="4" s="1"/>
  <c r="Y262" i="4" s="1"/>
  <c r="V263" i="4" s="1"/>
  <c r="X263" i="4" s="1"/>
  <c r="Y263" i="4" s="1"/>
  <c r="V264" i="4" s="1"/>
  <c r="X264" i="4" s="1"/>
  <c r="Y264" i="4" s="1"/>
  <c r="V265" i="4" s="1"/>
  <c r="X265" i="4" s="1"/>
  <c r="Y265" i="4" s="1"/>
  <c r="V266" i="4" s="1"/>
  <c r="X266" i="4" s="1"/>
  <c r="Y266" i="4" s="1"/>
  <c r="V267" i="4" s="1"/>
  <c r="X267" i="4" s="1"/>
  <c r="Y267" i="4" s="1"/>
  <c r="V268" i="4" s="1"/>
  <c r="X268" i="4" s="1"/>
  <c r="Y268" i="4" s="1"/>
  <c r="V269" i="4" s="1"/>
  <c r="X269" i="4" s="1"/>
  <c r="Y269" i="4" s="1"/>
  <c r="V270" i="4" s="1"/>
  <c r="X270" i="4" s="1"/>
  <c r="Y270" i="4" s="1"/>
  <c r="V271" i="4" s="1"/>
  <c r="X271" i="4" s="1"/>
  <c r="Y271" i="4" s="1"/>
  <c r="V272" i="4" s="1"/>
  <c r="X272" i="4" s="1"/>
  <c r="Y272" i="4" s="1"/>
  <c r="V273" i="4" s="1"/>
  <c r="X273" i="4" s="1"/>
  <c r="Y273" i="4" s="1"/>
  <c r="V274" i="4" s="1"/>
  <c r="X274" i="4" s="1"/>
  <c r="Y274" i="4" s="1"/>
  <c r="V275" i="4" s="1"/>
  <c r="X275" i="4" s="1"/>
  <c r="Y275" i="4" s="1"/>
  <c r="V276" i="4" s="1"/>
  <c r="X276" i="4" s="1"/>
  <c r="Y276" i="4" s="1"/>
  <c r="V277" i="4" s="1"/>
  <c r="X277" i="4" s="1"/>
  <c r="Y277" i="4" s="1"/>
  <c r="V278" i="4" s="1"/>
  <c r="X278" i="4" s="1"/>
  <c r="Y278" i="4" s="1"/>
  <c r="V279" i="4" s="1"/>
  <c r="X279" i="4" s="1"/>
  <c r="Y279" i="4" s="1"/>
  <c r="V280" i="4" s="1"/>
  <c r="X280" i="4" s="1"/>
  <c r="Y280" i="4" s="1"/>
  <c r="V281" i="4" s="1"/>
  <c r="X281" i="4" s="1"/>
  <c r="Y281" i="4" s="1"/>
  <c r="V282" i="4" s="1"/>
  <c r="X282" i="4" s="1"/>
  <c r="Y282" i="4" s="1"/>
  <c r="V283" i="4" s="1"/>
  <c r="X283" i="4" s="1"/>
  <c r="Y283" i="4" s="1"/>
  <c r="V284" i="4" s="1"/>
  <c r="X284" i="4" s="1"/>
  <c r="Y284" i="4" s="1"/>
  <c r="V285" i="4" s="1"/>
  <c r="X285" i="4" s="1"/>
  <c r="Y285" i="4" s="1"/>
  <c r="V286" i="4" s="1"/>
  <c r="X286" i="4" s="1"/>
  <c r="Y286" i="4" s="1"/>
  <c r="V287" i="4" s="1"/>
  <c r="X287" i="4" s="1"/>
  <c r="Y287" i="4" s="1"/>
  <c r="V288" i="4" s="1"/>
  <c r="X288" i="4" s="1"/>
  <c r="Y288" i="4" s="1"/>
  <c r="V289" i="4" s="1"/>
  <c r="X289" i="4" s="1"/>
  <c r="Y289" i="4" s="1"/>
  <c r="V290" i="4" s="1"/>
  <c r="X290" i="4" s="1"/>
  <c r="Y290" i="4" s="1"/>
  <c r="V291" i="4" s="1"/>
  <c r="X291" i="4" s="1"/>
  <c r="Y291" i="4" s="1"/>
  <c r="V292" i="4" s="1"/>
  <c r="X292" i="4" s="1"/>
  <c r="Y292" i="4" s="1"/>
  <c r="V293" i="4" s="1"/>
  <c r="X293" i="4" s="1"/>
  <c r="Y293" i="4" s="1"/>
  <c r="V294" i="4" s="1"/>
  <c r="X294" i="4" s="1"/>
  <c r="Y294" i="4" s="1"/>
  <c r="V295" i="4" s="1"/>
  <c r="X295" i="4" s="1"/>
  <c r="Y295" i="4" s="1"/>
  <c r="V296" i="4" s="1"/>
  <c r="X296" i="4" s="1"/>
  <c r="Y296" i="4" s="1"/>
  <c r="V297" i="4" s="1"/>
  <c r="X297" i="4" s="1"/>
  <c r="Y297" i="4" s="1"/>
  <c r="V298" i="4" s="1"/>
  <c r="X298" i="4" s="1"/>
  <c r="Y298" i="4" s="1"/>
  <c r="V299" i="4" s="1"/>
  <c r="X299" i="4" s="1"/>
  <c r="Y299" i="4" s="1"/>
  <c r="V300" i="4" s="1"/>
  <c r="X300" i="4" s="1"/>
  <c r="Y300" i="4" s="1"/>
  <c r="V301" i="4" s="1"/>
  <c r="X301" i="4" s="1"/>
  <c r="Y301" i="4" s="1"/>
  <c r="V302" i="4" s="1"/>
  <c r="X302" i="4" s="1"/>
  <c r="Y302" i="4" s="1"/>
  <c r="V303" i="4" s="1"/>
  <c r="X303" i="4" s="1"/>
  <c r="Y303" i="4" s="1"/>
  <c r="V304" i="4" s="1"/>
  <c r="X304" i="4" s="1"/>
  <c r="Y304" i="4" s="1"/>
  <c r="V305" i="4" s="1"/>
  <c r="X305" i="4" s="1"/>
  <c r="Y305" i="4" s="1"/>
  <c r="V306" i="4" s="1"/>
  <c r="X306" i="4" s="1"/>
  <c r="Y306" i="4" s="1"/>
  <c r="V307" i="4" s="1"/>
  <c r="X307" i="4" s="1"/>
  <c r="Y307" i="4" s="1"/>
  <c r="V308" i="4" s="1"/>
  <c r="X308" i="4" s="1"/>
  <c r="Y308" i="4" s="1"/>
  <c r="V309" i="4" s="1"/>
  <c r="X309" i="4" s="1"/>
  <c r="Y309" i="4" s="1"/>
  <c r="V310" i="4" s="1"/>
  <c r="X310" i="4" s="1"/>
  <c r="Y310" i="4" s="1"/>
  <c r="V311" i="4" s="1"/>
  <c r="X311" i="4" s="1"/>
  <c r="Y311" i="4" s="1"/>
  <c r="V312" i="4" s="1"/>
  <c r="X312" i="4" s="1"/>
  <c r="Y312" i="4" s="1"/>
  <c r="V313" i="4" s="1"/>
  <c r="X313" i="4" s="1"/>
  <c r="Y313" i="4" s="1"/>
  <c r="V314" i="4" s="1"/>
  <c r="X314" i="4" s="1"/>
  <c r="Y314" i="4" s="1"/>
  <c r="V315" i="4" s="1"/>
  <c r="X315" i="4" s="1"/>
  <c r="Y315" i="4" s="1"/>
  <c r="V316" i="4" s="1"/>
  <c r="X316" i="4" s="1"/>
  <c r="Y316" i="4" s="1"/>
  <c r="V317" i="4" s="1"/>
  <c r="X317" i="4" s="1"/>
  <c r="Y317" i="4" s="1"/>
  <c r="V318" i="4" s="1"/>
  <c r="X318" i="4" s="1"/>
  <c r="Y318" i="4" s="1"/>
  <c r="V319" i="4" s="1"/>
  <c r="X319" i="4" s="1"/>
  <c r="Y319" i="4" s="1"/>
  <c r="V320" i="4" s="1"/>
  <c r="X320" i="4" s="1"/>
  <c r="Y320" i="4" s="1"/>
  <c r="V321" i="4" s="1"/>
  <c r="X321" i="4" s="1"/>
  <c r="Y321" i="4" s="1"/>
  <c r="V322" i="4" s="1"/>
  <c r="X322" i="4" s="1"/>
  <c r="Y322" i="4" s="1"/>
  <c r="V323" i="4" s="1"/>
  <c r="X323" i="4" s="1"/>
  <c r="Y323" i="4" s="1"/>
  <c r="V324" i="4" s="1"/>
  <c r="X324" i="4" s="1"/>
  <c r="Y324" i="4" s="1"/>
  <c r="V325" i="4" s="1"/>
  <c r="X325" i="4" s="1"/>
  <c r="Y325" i="4" s="1"/>
  <c r="V326" i="4" s="1"/>
  <c r="X326" i="4" s="1"/>
  <c r="Y326" i="4" s="1"/>
  <c r="V327" i="4" s="1"/>
  <c r="X327" i="4" s="1"/>
  <c r="Y327" i="4" s="1"/>
  <c r="V328" i="4" s="1"/>
  <c r="X328" i="4" s="1"/>
  <c r="Y328" i="4" s="1"/>
  <c r="V329" i="4" s="1"/>
  <c r="X329" i="4" s="1"/>
  <c r="Y329" i="4" s="1"/>
  <c r="V330" i="4" s="1"/>
  <c r="X330" i="4" s="1"/>
  <c r="Y330" i="4" s="1"/>
  <c r="V331" i="4" s="1"/>
  <c r="X331" i="4" s="1"/>
  <c r="Y331" i="4" s="1"/>
  <c r="V332" i="4" s="1"/>
  <c r="X332" i="4" s="1"/>
  <c r="Y332" i="4" s="1"/>
  <c r="V333" i="4" s="1"/>
  <c r="X333" i="4" s="1"/>
  <c r="Y333" i="4" s="1"/>
  <c r="V334" i="4" s="1"/>
  <c r="X334" i="4" s="1"/>
  <c r="Y334" i="4" s="1"/>
  <c r="V335" i="4" s="1"/>
  <c r="X335" i="4" s="1"/>
  <c r="Y335" i="4" s="1"/>
  <c r="V336" i="4" s="1"/>
  <c r="X336" i="4" s="1"/>
  <c r="Y336" i="4" s="1"/>
  <c r="V337" i="4" s="1"/>
  <c r="X337" i="4" s="1"/>
  <c r="Y337" i="4" s="1"/>
  <c r="V338" i="4" s="1"/>
  <c r="X338" i="4" s="1"/>
  <c r="Y338" i="4" s="1"/>
  <c r="V339" i="4" s="1"/>
  <c r="X339" i="4" s="1"/>
  <c r="Y339" i="4" s="1"/>
  <c r="V340" i="4" s="1"/>
  <c r="X340" i="4" s="1"/>
  <c r="Y340" i="4" s="1"/>
  <c r="V341" i="4" s="1"/>
  <c r="X341" i="4" s="1"/>
  <c r="Y341" i="4" s="1"/>
  <c r="V342" i="4" s="1"/>
  <c r="X342" i="4" s="1"/>
  <c r="Y342" i="4" s="1"/>
  <c r="V343" i="4" s="1"/>
  <c r="X343" i="4" s="1"/>
  <c r="Y343" i="4" s="1"/>
  <c r="V344" i="4" s="1"/>
  <c r="X344" i="4" s="1"/>
  <c r="Y344" i="4" s="1"/>
  <c r="V345" i="4" s="1"/>
  <c r="X345" i="4" s="1"/>
  <c r="Y345" i="4" s="1"/>
  <c r="V346" i="4" s="1"/>
  <c r="X346" i="4" s="1"/>
  <c r="Y346" i="4" s="1"/>
  <c r="V347" i="4" s="1"/>
  <c r="X347" i="4" s="1"/>
  <c r="Y347" i="4" s="1"/>
  <c r="V348" i="4" s="1"/>
  <c r="X348" i="4" s="1"/>
  <c r="Y348" i="4" s="1"/>
  <c r="V349" i="4" s="1"/>
  <c r="X349" i="4" s="1"/>
  <c r="Y349" i="4" s="1"/>
  <c r="V350" i="4" s="1"/>
  <c r="X350" i="4" s="1"/>
  <c r="Y350" i="4" s="1"/>
  <c r="V351" i="4" s="1"/>
  <c r="X351" i="4" s="1"/>
  <c r="Y351" i="4" s="1"/>
  <c r="V352" i="4" s="1"/>
  <c r="X352" i="4" s="1"/>
  <c r="Y352" i="4" s="1"/>
  <c r="V353" i="4" s="1"/>
  <c r="X353" i="4" s="1"/>
  <c r="Y353" i="4" s="1"/>
  <c r="V354" i="4" s="1"/>
  <c r="X354" i="4" s="1"/>
  <c r="Y354" i="4" s="1"/>
  <c r="V355" i="4" s="1"/>
  <c r="X355" i="4" s="1"/>
  <c r="Y355" i="4" s="1"/>
  <c r="V356" i="4" s="1"/>
  <c r="X356" i="4" s="1"/>
  <c r="Y356" i="4" s="1"/>
  <c r="V357" i="4" s="1"/>
  <c r="X357" i="4" s="1"/>
  <c r="Y357" i="4" s="1"/>
  <c r="V358" i="4" s="1"/>
  <c r="X358" i="4" s="1"/>
  <c r="Y358" i="4" s="1"/>
  <c r="V359" i="4" s="1"/>
  <c r="X359" i="4" s="1"/>
  <c r="Y359" i="4" s="1"/>
  <c r="V360" i="4" s="1"/>
  <c r="X360" i="4" s="1"/>
  <c r="Y360" i="4" s="1"/>
  <c r="V361" i="4" s="1"/>
  <c r="X361" i="4" s="1"/>
  <c r="Y361" i="4" s="1"/>
  <c r="V362" i="4" s="1"/>
  <c r="X362" i="4" s="1"/>
  <c r="Y362" i="4" s="1"/>
  <c r="V363" i="4" s="1"/>
  <c r="X363" i="4" s="1"/>
  <c r="Y363" i="4" s="1"/>
  <c r="V364" i="4" s="1"/>
  <c r="X364" i="4" s="1"/>
  <c r="Y364" i="4" s="1"/>
  <c r="V365" i="4" s="1"/>
  <c r="X365" i="4" s="1"/>
  <c r="Y365" i="4" s="1"/>
  <c r="V366" i="4" s="1"/>
  <c r="X366" i="4" s="1"/>
  <c r="Y366" i="4" s="1"/>
  <c r="V367" i="4" s="1"/>
  <c r="X367" i="4" s="1"/>
  <c r="Y367" i="4" s="1"/>
  <c r="V368" i="4" s="1"/>
  <c r="X368" i="4" s="1"/>
  <c r="Y368" i="4" s="1"/>
  <c r="V369" i="4" s="1"/>
  <c r="X369" i="4" s="1"/>
  <c r="Y369" i="4" s="1"/>
  <c r="V370" i="4" s="1"/>
  <c r="X370" i="4" s="1"/>
  <c r="Y370" i="4" s="1"/>
  <c r="V371" i="4" s="1"/>
  <c r="X371" i="4" s="1"/>
  <c r="Y371" i="4" s="1"/>
  <c r="V372" i="4" s="1"/>
  <c r="X372" i="4" s="1"/>
  <c r="Y372" i="4" s="1"/>
  <c r="V373" i="4" s="1"/>
  <c r="X373" i="4" s="1"/>
  <c r="Y373" i="4" s="1"/>
  <c r="V374" i="4" s="1"/>
  <c r="X374" i="4" s="1"/>
  <c r="Y374" i="4" s="1"/>
  <c r="V375" i="4" s="1"/>
  <c r="X375" i="4" s="1"/>
  <c r="Y375" i="4" s="1"/>
  <c r="V376" i="4" s="1"/>
  <c r="X376" i="4" s="1"/>
  <c r="Y376" i="4" s="1"/>
  <c r="V377" i="4" s="1"/>
  <c r="X377" i="4" s="1"/>
  <c r="Y377" i="4" s="1"/>
  <c r="V378" i="4" s="1"/>
  <c r="X378" i="4" s="1"/>
  <c r="Y378" i="4" s="1"/>
  <c r="V379" i="4" s="1"/>
  <c r="X379" i="4" s="1"/>
  <c r="Y379" i="4" s="1"/>
  <c r="V380" i="4" s="1"/>
  <c r="X380" i="4" s="1"/>
  <c r="Y380" i="4" s="1"/>
  <c r="V381" i="4" s="1"/>
  <c r="X381" i="4" s="1"/>
  <c r="Y381" i="4" s="1"/>
  <c r="V382" i="4" s="1"/>
  <c r="X382" i="4" s="1"/>
  <c r="Y382" i="4" s="1"/>
  <c r="V383" i="4" s="1"/>
  <c r="X383" i="4" s="1"/>
  <c r="Y383" i="4" s="1"/>
  <c r="V384" i="4" s="1"/>
  <c r="X384" i="4" s="1"/>
  <c r="Y384" i="4" s="1"/>
  <c r="V385" i="4" s="1"/>
  <c r="X385" i="4" s="1"/>
  <c r="Y385" i="4" s="1"/>
  <c r="V386" i="4" s="1"/>
  <c r="X386" i="4" s="1"/>
  <c r="Y386" i="4" s="1"/>
  <c r="V387" i="4" s="1"/>
  <c r="X387" i="4" s="1"/>
  <c r="Y387" i="4" s="1"/>
  <c r="V388" i="4" s="1"/>
  <c r="X388" i="4" s="1"/>
  <c r="Y388" i="4" s="1"/>
  <c r="V389" i="4" s="1"/>
  <c r="X389" i="4" s="1"/>
  <c r="Y389" i="4" s="1"/>
  <c r="V390" i="4" s="1"/>
  <c r="X390" i="4" s="1"/>
  <c r="Y390" i="4" s="1"/>
  <c r="V391" i="4" s="1"/>
  <c r="X391" i="4" s="1"/>
  <c r="Y391" i="4" s="1"/>
  <c r="V392" i="4" s="1"/>
  <c r="X392" i="4" s="1"/>
  <c r="Y392" i="4" s="1"/>
  <c r="V393" i="4" s="1"/>
  <c r="X393" i="4" s="1"/>
  <c r="Y393" i="4" s="1"/>
  <c r="V394" i="4" s="1"/>
  <c r="X394" i="4" s="1"/>
  <c r="Y394" i="4" s="1"/>
  <c r="V395" i="4" s="1"/>
  <c r="X395" i="4" s="1"/>
  <c r="Y395" i="4" s="1"/>
  <c r="V396" i="4" s="1"/>
  <c r="X396" i="4" s="1"/>
  <c r="Y396" i="4" s="1"/>
  <c r="V397" i="4" s="1"/>
  <c r="X397" i="4" s="1"/>
  <c r="Y397" i="4" s="1"/>
  <c r="V398" i="4" s="1"/>
  <c r="X398" i="4" s="1"/>
  <c r="Y398" i="4" s="1"/>
  <c r="V399" i="4" s="1"/>
  <c r="X399" i="4" s="1"/>
  <c r="Y399" i="4" s="1"/>
  <c r="V400" i="4" s="1"/>
  <c r="X400" i="4" s="1"/>
  <c r="Y400" i="4" s="1"/>
  <c r="V401" i="4" s="1"/>
  <c r="X401" i="4" s="1"/>
  <c r="Y401" i="4" s="1"/>
  <c r="V402" i="4" s="1"/>
  <c r="X402" i="4" s="1"/>
  <c r="Y402" i="4" s="1"/>
  <c r="V403" i="4" s="1"/>
  <c r="X403" i="4" s="1"/>
  <c r="Y403" i="4" s="1"/>
  <c r="V404" i="4" s="1"/>
  <c r="X404" i="4" s="1"/>
  <c r="Y404" i="4" s="1"/>
  <c r="V405" i="4" s="1"/>
  <c r="X405" i="4" s="1"/>
  <c r="Y405" i="4" s="1"/>
  <c r="V406" i="4" s="1"/>
  <c r="X406" i="4" s="1"/>
  <c r="Y406" i="4" s="1"/>
  <c r="V407" i="4" s="1"/>
  <c r="X407" i="4" s="1"/>
  <c r="Y407" i="4" s="1"/>
  <c r="V408" i="4" s="1"/>
  <c r="X408" i="4" s="1"/>
  <c r="Y408" i="4" s="1"/>
  <c r="V409" i="4" s="1"/>
  <c r="X409" i="4" s="1"/>
  <c r="Y409" i="4" s="1"/>
  <c r="V410" i="4" s="1"/>
  <c r="X410" i="4" s="1"/>
  <c r="Y410" i="4" s="1"/>
  <c r="V411" i="4" s="1"/>
  <c r="X411" i="4" s="1"/>
  <c r="Y411" i="4" s="1"/>
  <c r="V412" i="4" s="1"/>
  <c r="X412" i="4" s="1"/>
  <c r="Y412" i="4" s="1"/>
  <c r="V413" i="4" s="1"/>
  <c r="X413" i="4" s="1"/>
  <c r="Y413" i="4" s="1"/>
  <c r="V414" i="4" s="1"/>
  <c r="X414" i="4" s="1"/>
  <c r="Y414" i="4" s="1"/>
  <c r="V415" i="4" s="1"/>
  <c r="X415" i="4" s="1"/>
  <c r="Y415" i="4" s="1"/>
  <c r="V416" i="4" s="1"/>
  <c r="X416" i="4" s="1"/>
  <c r="Y416" i="4" s="1"/>
  <c r="V417" i="4" s="1"/>
  <c r="X417" i="4" s="1"/>
  <c r="Y417" i="4" s="1"/>
  <c r="V418" i="4" s="1"/>
  <c r="X418" i="4" s="1"/>
  <c r="Y418" i="4" s="1"/>
  <c r="V419" i="4" s="1"/>
  <c r="X419" i="4" s="1"/>
  <c r="Y419" i="4" s="1"/>
  <c r="V420" i="4" s="1"/>
  <c r="X420" i="4" s="1"/>
  <c r="Y420" i="4" s="1"/>
  <c r="V421" i="4" s="1"/>
  <c r="X421" i="4" s="1"/>
  <c r="Y421" i="4" s="1"/>
  <c r="V422" i="4" s="1"/>
  <c r="X422" i="4" s="1"/>
  <c r="Y422" i="4" s="1"/>
  <c r="V423" i="4" s="1"/>
  <c r="X423" i="4" s="1"/>
  <c r="Y423" i="4" s="1"/>
  <c r="V424" i="4" s="1"/>
  <c r="X424" i="4" s="1"/>
  <c r="Y424" i="4" s="1"/>
  <c r="V425" i="4" s="1"/>
  <c r="X425" i="4" s="1"/>
  <c r="Y425" i="4" s="1"/>
  <c r="V426" i="4" s="1"/>
  <c r="X426" i="4" s="1"/>
  <c r="Y426" i="4" s="1"/>
  <c r="V427" i="4" s="1"/>
  <c r="X427" i="4" s="1"/>
  <c r="Y427" i="4" s="1"/>
  <c r="V428" i="4" s="1"/>
  <c r="X428" i="4" s="1"/>
  <c r="Y428" i="4" s="1"/>
  <c r="V429" i="4" s="1"/>
  <c r="X429" i="4" s="1"/>
  <c r="Y429" i="4" s="1"/>
  <c r="V430" i="4" s="1"/>
  <c r="X430" i="4" s="1"/>
  <c r="Y430" i="4" s="1"/>
  <c r="V431" i="4" s="1"/>
  <c r="X431" i="4" s="1"/>
  <c r="Y431" i="4" s="1"/>
  <c r="V432" i="4" s="1"/>
  <c r="X432" i="4" s="1"/>
  <c r="Y432" i="4" s="1"/>
  <c r="V433" i="4" s="1"/>
  <c r="X433" i="4" s="1"/>
  <c r="Y433" i="4" s="1"/>
  <c r="V434" i="4" s="1"/>
  <c r="X434" i="4" s="1"/>
  <c r="Y434" i="4" s="1"/>
  <c r="V435" i="4" s="1"/>
  <c r="X435" i="4" s="1"/>
  <c r="Y435" i="4" s="1"/>
  <c r="V436" i="4" s="1"/>
  <c r="X436" i="4" s="1"/>
  <c r="Y436" i="4" s="1"/>
  <c r="V437" i="4" s="1"/>
  <c r="X437" i="4" s="1"/>
  <c r="Y437" i="4" s="1"/>
  <c r="V438" i="4" s="1"/>
  <c r="X438" i="4" s="1"/>
  <c r="Y438" i="4" s="1"/>
  <c r="V439" i="4" s="1"/>
  <c r="X439" i="4" s="1"/>
  <c r="Y439" i="4" s="1"/>
  <c r="V440" i="4" s="1"/>
  <c r="X440" i="4" s="1"/>
  <c r="Y440" i="4" s="1"/>
  <c r="V441" i="4" s="1"/>
  <c r="X441" i="4" s="1"/>
  <c r="Y441" i="4" s="1"/>
  <c r="V442" i="4" s="1"/>
  <c r="X442" i="4" s="1"/>
  <c r="Y442" i="4" s="1"/>
  <c r="V443" i="4" s="1"/>
  <c r="X443" i="4" s="1"/>
  <c r="Y443" i="4" s="1"/>
  <c r="V444" i="4" s="1"/>
  <c r="X444" i="4" s="1"/>
  <c r="Y444" i="4" s="1"/>
  <c r="V445" i="4" s="1"/>
  <c r="X445" i="4" s="1"/>
  <c r="Y445" i="4" s="1"/>
  <c r="V446" i="4" s="1"/>
  <c r="X446" i="4" s="1"/>
  <c r="Y446" i="4" s="1"/>
  <c r="V447" i="4" s="1"/>
  <c r="X447" i="4" s="1"/>
  <c r="Y447" i="4" s="1"/>
  <c r="V448" i="4" s="1"/>
  <c r="X448" i="4" s="1"/>
  <c r="Y448" i="4" s="1"/>
  <c r="V449" i="4" s="1"/>
  <c r="X449" i="4" s="1"/>
  <c r="Y449" i="4" s="1"/>
  <c r="V450" i="4" s="1"/>
  <c r="X450" i="4" s="1"/>
  <c r="Y450" i="4" s="1"/>
  <c r="V451" i="4" s="1"/>
  <c r="X451" i="4" s="1"/>
  <c r="Y451" i="4" s="1"/>
  <c r="V452" i="4" s="1"/>
  <c r="X452" i="4" s="1"/>
  <c r="Y452" i="4" s="1"/>
  <c r="V453" i="4" s="1"/>
  <c r="X453" i="4" s="1"/>
  <c r="Y453" i="4" s="1"/>
  <c r="V454" i="4" s="1"/>
  <c r="X454" i="4" s="1"/>
  <c r="Y454" i="4" s="1"/>
  <c r="V455" i="4" s="1"/>
  <c r="X455" i="4" s="1"/>
  <c r="Y455" i="4" s="1"/>
  <c r="V456" i="4" s="1"/>
  <c r="X456" i="4" s="1"/>
  <c r="Y456" i="4" s="1"/>
  <c r="V457" i="4" s="1"/>
  <c r="X457" i="4" s="1"/>
  <c r="Y457" i="4" s="1"/>
  <c r="V458" i="4" s="1"/>
  <c r="X458" i="4" s="1"/>
  <c r="Y458" i="4" s="1"/>
  <c r="V459" i="4" s="1"/>
  <c r="X459" i="4" s="1"/>
  <c r="Y459" i="4" s="1"/>
  <c r="V460" i="4" s="1"/>
  <c r="X460" i="4" s="1"/>
  <c r="Y460" i="4" s="1"/>
  <c r="V461" i="4" s="1"/>
  <c r="X461" i="4" s="1"/>
  <c r="Y461" i="4" s="1"/>
  <c r="V462" i="4" s="1"/>
  <c r="X462" i="4" s="1"/>
  <c r="Y462" i="4" s="1"/>
  <c r="V463" i="4" s="1"/>
  <c r="X463" i="4" s="1"/>
  <c r="Y463" i="4" s="1"/>
  <c r="V464" i="4" s="1"/>
  <c r="X464" i="4" s="1"/>
  <c r="Y464" i="4" s="1"/>
  <c r="V465" i="4" s="1"/>
  <c r="X465" i="4" s="1"/>
  <c r="Y465" i="4" s="1"/>
  <c r="V466" i="4" s="1"/>
  <c r="X466" i="4" s="1"/>
  <c r="Y466" i="4" s="1"/>
  <c r="V467" i="4" s="1"/>
  <c r="X467" i="4" s="1"/>
  <c r="Y467" i="4" s="1"/>
  <c r="V468" i="4" s="1"/>
  <c r="X468" i="4" s="1"/>
  <c r="Y468" i="4" s="1"/>
  <c r="V469" i="4" s="1"/>
  <c r="X469" i="4" s="1"/>
  <c r="Y469" i="4" s="1"/>
  <c r="V470" i="4" s="1"/>
  <c r="X470" i="4" s="1"/>
  <c r="Y470" i="4" s="1"/>
  <c r="V471" i="4" s="1"/>
  <c r="X471" i="4" s="1"/>
  <c r="Y471" i="4" s="1"/>
  <c r="V472" i="4" s="1"/>
  <c r="X472" i="4" s="1"/>
  <c r="Y472" i="4" s="1"/>
  <c r="V473" i="4" s="1"/>
  <c r="X473" i="4" s="1"/>
  <c r="Y473" i="4" s="1"/>
  <c r="V474" i="4" s="1"/>
  <c r="X474" i="4" s="1"/>
  <c r="Y474" i="4" s="1"/>
  <c r="V475" i="4" s="1"/>
  <c r="X475" i="4" s="1"/>
  <c r="Y475" i="4" s="1"/>
  <c r="V476" i="4" s="1"/>
  <c r="X476" i="4" s="1"/>
  <c r="Y476" i="4" s="1"/>
  <c r="V477" i="4" s="1"/>
  <c r="X477" i="4" s="1"/>
  <c r="Y477" i="4" s="1"/>
  <c r="V478" i="4" s="1"/>
  <c r="X478" i="4" s="1"/>
  <c r="Y478" i="4" s="1"/>
  <c r="V479" i="4" s="1"/>
  <c r="X479" i="4" s="1"/>
  <c r="Y479" i="4" s="1"/>
  <c r="V480" i="4" s="1"/>
  <c r="X480" i="4" s="1"/>
  <c r="Y480" i="4" s="1"/>
  <c r="V481" i="4" s="1"/>
  <c r="X481" i="4" s="1"/>
  <c r="Y481" i="4" s="1"/>
  <c r="V482" i="4" s="1"/>
  <c r="X482" i="4" s="1"/>
  <c r="Y482" i="4" s="1"/>
  <c r="V483" i="4" s="1"/>
  <c r="X483" i="4" s="1"/>
  <c r="Y483" i="4" s="1"/>
  <c r="V484" i="4" s="1"/>
  <c r="X484" i="4" s="1"/>
  <c r="Y484" i="4" s="1"/>
  <c r="V485" i="4" s="1"/>
  <c r="X485" i="4" s="1"/>
  <c r="Y485" i="4" s="1"/>
  <c r="V486" i="4" s="1"/>
  <c r="X486" i="4" s="1"/>
  <c r="Y486" i="4" s="1"/>
  <c r="V487" i="4" s="1"/>
  <c r="X487" i="4" s="1"/>
  <c r="Y487" i="4" s="1"/>
  <c r="V488" i="4" s="1"/>
  <c r="X488" i="4" s="1"/>
  <c r="Y488" i="4" s="1"/>
  <c r="V489" i="4" s="1"/>
  <c r="X489" i="4" s="1"/>
  <c r="Y489" i="4" s="1"/>
  <c r="V490" i="4" s="1"/>
  <c r="X490" i="4" s="1"/>
  <c r="Y490" i="4" s="1"/>
  <c r="V491" i="4" s="1"/>
  <c r="X491" i="4" s="1"/>
  <c r="Y491" i="4" s="1"/>
  <c r="V492" i="4" s="1"/>
  <c r="X492" i="4" s="1"/>
  <c r="Y492" i="4" s="1"/>
  <c r="V493" i="4" s="1"/>
  <c r="X493" i="4" s="1"/>
  <c r="Y493" i="4" s="1"/>
  <c r="V494" i="4" s="1"/>
  <c r="X494" i="4" s="1"/>
  <c r="Y494" i="4" s="1"/>
  <c r="V495" i="4" s="1"/>
  <c r="X495" i="4" s="1"/>
  <c r="Y495" i="4" s="1"/>
  <c r="V496" i="4" s="1"/>
  <c r="X496" i="4" s="1"/>
  <c r="Y496" i="4" s="1"/>
  <c r="V497" i="4" s="1"/>
  <c r="X497" i="4" s="1"/>
  <c r="Y497" i="4" s="1"/>
  <c r="V498" i="4" s="1"/>
  <c r="X498" i="4" s="1"/>
  <c r="Y498" i="4" s="1"/>
  <c r="V499" i="4" s="1"/>
  <c r="X499" i="4" s="1"/>
  <c r="Y499" i="4" s="1"/>
  <c r="V500" i="4" s="1"/>
  <c r="X500" i="4" s="1"/>
  <c r="Y500" i="4" s="1"/>
  <c r="V501" i="4" s="1"/>
  <c r="X501" i="4" s="1"/>
  <c r="Y501" i="4" s="1"/>
  <c r="V502" i="4" s="1"/>
  <c r="X502" i="4" s="1"/>
  <c r="Y502" i="4" s="1"/>
  <c r="V503" i="4" s="1"/>
  <c r="X503" i="4" s="1"/>
  <c r="Y503" i="4" s="1"/>
  <c r="V504" i="4" s="1"/>
  <c r="X504" i="4" s="1"/>
  <c r="Y504" i="4" s="1"/>
  <c r="V505" i="4" s="1"/>
  <c r="X505" i="4" s="1"/>
  <c r="Y505" i="4" s="1"/>
  <c r="V506" i="4" s="1"/>
  <c r="X506" i="4" s="1"/>
  <c r="Y506" i="4" s="1"/>
  <c r="V507" i="4" s="1"/>
  <c r="X507" i="4" s="1"/>
  <c r="Y507" i="4" s="1"/>
  <c r="V51" i="4"/>
  <c r="W52" i="4"/>
  <c r="G49" i="4" s="1"/>
  <c r="X176" i="5"/>
  <c r="Y176" i="5" s="1"/>
  <c r="V177" i="5" s="1"/>
  <c r="X177" i="5" s="1"/>
  <c r="Y177" i="5" s="1"/>
  <c r="V178" i="5" s="1"/>
  <c r="X178" i="5" s="1"/>
  <c r="Y178" i="5" s="1"/>
  <c r="V179" i="5" s="1"/>
  <c r="X179" i="5" s="1"/>
  <c r="Y179" i="5" s="1"/>
  <c r="V180" i="5" s="1"/>
  <c r="X180" i="5" s="1"/>
  <c r="Y180" i="5" s="1"/>
  <c r="V181" i="5" s="1"/>
  <c r="X181" i="5" s="1"/>
  <c r="Y181" i="5" s="1"/>
  <c r="V182" i="5" s="1"/>
  <c r="X182" i="5" s="1"/>
  <c r="Y182" i="5" s="1"/>
  <c r="V183" i="5" s="1"/>
  <c r="X183" i="5" s="1"/>
  <c r="Y183" i="5" s="1"/>
  <c r="V184" i="5" s="1"/>
  <c r="X184" i="5" s="1"/>
  <c r="Y184" i="5" s="1"/>
  <c r="V185" i="5" s="1"/>
  <c r="X185" i="5" s="1"/>
  <c r="Y185" i="5" s="1"/>
  <c r="V186" i="5" s="1"/>
  <c r="X186" i="5" s="1"/>
  <c r="Y186" i="5" s="1"/>
  <c r="V187" i="5" s="1"/>
  <c r="X187" i="5" s="1"/>
  <c r="Y187" i="5" s="1"/>
  <c r="V188" i="5" s="1"/>
  <c r="X188" i="5" s="1"/>
  <c r="Y188" i="5" s="1"/>
  <c r="V189" i="5" s="1"/>
  <c r="X189" i="5" s="1"/>
  <c r="Y189" i="5" s="1"/>
  <c r="V190" i="5" s="1"/>
  <c r="X190" i="5" s="1"/>
  <c r="Y190" i="5" s="1"/>
  <c r="V191" i="5" s="1"/>
  <c r="X191" i="5" s="1"/>
  <c r="Y191" i="5" s="1"/>
  <c r="V192" i="5" s="1"/>
  <c r="X192" i="5" s="1"/>
  <c r="Y192" i="5" s="1"/>
  <c r="V193" i="5" s="1"/>
  <c r="X193" i="5" s="1"/>
  <c r="Y193" i="5" s="1"/>
  <c r="V194" i="5" s="1"/>
  <c r="X194" i="5" s="1"/>
  <c r="Y194" i="5" s="1"/>
  <c r="V195" i="5" s="1"/>
  <c r="X195" i="5" s="1"/>
  <c r="Y195" i="5" s="1"/>
  <c r="V196" i="5" s="1"/>
  <c r="X196" i="5" s="1"/>
  <c r="Y196" i="5" s="1"/>
  <c r="V197" i="5" s="1"/>
  <c r="X197" i="5" s="1"/>
  <c r="Y197" i="5" s="1"/>
  <c r="V198" i="5" s="1"/>
  <c r="X198" i="5" s="1"/>
  <c r="Y198" i="5" s="1"/>
  <c r="V199" i="5" s="1"/>
  <c r="X199" i="5" s="1"/>
  <c r="Y199" i="5" s="1"/>
  <c r="V200" i="5" s="1"/>
  <c r="X200" i="5" s="1"/>
  <c r="Y200" i="5" s="1"/>
  <c r="V201" i="5" s="1"/>
  <c r="X201" i="5" s="1"/>
  <c r="Y201" i="5" s="1"/>
  <c r="V202" i="5" s="1"/>
  <c r="X202" i="5" s="1"/>
  <c r="Y202" i="5" s="1"/>
  <c r="V203" i="5" s="1"/>
  <c r="X203" i="5" s="1"/>
  <c r="Y203" i="5" s="1"/>
  <c r="V204" i="5" s="1"/>
  <c r="X204" i="5" s="1"/>
  <c r="Y204" i="5" s="1"/>
  <c r="V205" i="5" s="1"/>
  <c r="X205" i="5" s="1"/>
  <c r="Y205" i="5" s="1"/>
  <c r="V206" i="5" s="1"/>
  <c r="X206" i="5" s="1"/>
  <c r="Y206" i="5" s="1"/>
  <c r="V207" i="5" s="1"/>
  <c r="X207" i="5" s="1"/>
  <c r="Y207" i="5" s="1"/>
  <c r="V208" i="5" s="1"/>
  <c r="X208" i="5" s="1"/>
  <c r="Y208" i="5" s="1"/>
  <c r="V209" i="5" s="1"/>
  <c r="X209" i="5" s="1"/>
  <c r="Y209" i="5" s="1"/>
  <c r="V210" i="5" s="1"/>
  <c r="X210" i="5" s="1"/>
  <c r="Y210" i="5" s="1"/>
  <c r="V211" i="5" s="1"/>
  <c r="X211" i="5" s="1"/>
  <c r="Y211" i="5" s="1"/>
  <c r="V212" i="5" s="1"/>
  <c r="X212" i="5" s="1"/>
  <c r="Y212" i="5" s="1"/>
  <c r="V213" i="5" s="1"/>
  <c r="X213" i="5" s="1"/>
  <c r="Y213" i="5" s="1"/>
  <c r="V214" i="5" s="1"/>
  <c r="X214" i="5" s="1"/>
  <c r="Y214" i="5" s="1"/>
  <c r="V215" i="5" s="1"/>
  <c r="X215" i="5" s="1"/>
  <c r="Y215" i="5" s="1"/>
  <c r="V216" i="5" s="1"/>
  <c r="X216" i="5" s="1"/>
  <c r="Y216" i="5" s="1"/>
  <c r="V217" i="5" s="1"/>
  <c r="X217" i="5" s="1"/>
  <c r="Y217" i="5" s="1"/>
  <c r="V218" i="5" s="1"/>
  <c r="X218" i="5" s="1"/>
  <c r="Y218" i="5" s="1"/>
  <c r="V219" i="5" s="1"/>
  <c r="X219" i="5" s="1"/>
  <c r="Y219" i="5" s="1"/>
  <c r="V220" i="5" s="1"/>
  <c r="X220" i="5" s="1"/>
  <c r="Y220" i="5" s="1"/>
  <c r="V221" i="5" s="1"/>
  <c r="X221" i="5" s="1"/>
  <c r="Y221" i="5" s="1"/>
  <c r="V222" i="5" s="1"/>
  <c r="X222" i="5" s="1"/>
  <c r="Y222" i="5" s="1"/>
  <c r="V223" i="5" s="1"/>
  <c r="X223" i="5" s="1"/>
  <c r="Y223" i="5" s="1"/>
  <c r="V224" i="5" s="1"/>
  <c r="X224" i="5" s="1"/>
  <c r="Y224" i="5" s="1"/>
  <c r="V225" i="5" s="1"/>
  <c r="X225" i="5" s="1"/>
  <c r="Y225" i="5" s="1"/>
  <c r="V226" i="5" s="1"/>
  <c r="X226" i="5" s="1"/>
  <c r="Y226" i="5" s="1"/>
  <c r="V227" i="5" s="1"/>
  <c r="X227" i="5" s="1"/>
  <c r="Y227" i="5" s="1"/>
  <c r="V228" i="5" s="1"/>
  <c r="X228" i="5" s="1"/>
  <c r="Y228" i="5" s="1"/>
  <c r="V229" i="5" s="1"/>
  <c r="X229" i="5" s="1"/>
  <c r="Y229" i="5" s="1"/>
  <c r="V230" i="5" s="1"/>
  <c r="X230" i="5" s="1"/>
  <c r="Y230" i="5" s="1"/>
  <c r="V231" i="5" s="1"/>
  <c r="X231" i="5" s="1"/>
  <c r="Y231" i="5" s="1"/>
  <c r="V232" i="5" s="1"/>
  <c r="X232" i="5" s="1"/>
  <c r="Y232" i="5" s="1"/>
  <c r="V233" i="5" s="1"/>
  <c r="X233" i="5" s="1"/>
  <c r="Y233" i="5" s="1"/>
  <c r="V234" i="5" s="1"/>
  <c r="X234" i="5" s="1"/>
  <c r="Y234" i="5" s="1"/>
  <c r="V235" i="5" s="1"/>
  <c r="X235" i="5" s="1"/>
  <c r="Y235" i="5" s="1"/>
  <c r="V236" i="5" s="1"/>
  <c r="X236" i="5" s="1"/>
  <c r="Y236" i="5" s="1"/>
  <c r="V237" i="5" s="1"/>
  <c r="X237" i="5" s="1"/>
  <c r="Y237" i="5" s="1"/>
  <c r="V238" i="5" s="1"/>
  <c r="X238" i="5" s="1"/>
  <c r="Y238" i="5" s="1"/>
  <c r="V239" i="5" s="1"/>
  <c r="X239" i="5" s="1"/>
  <c r="Y239" i="5" s="1"/>
  <c r="V240" i="5" s="1"/>
  <c r="X240" i="5" s="1"/>
  <c r="Y240" i="5" s="1"/>
  <c r="V241" i="5" s="1"/>
  <c r="X241" i="5" s="1"/>
  <c r="Y241" i="5" s="1"/>
  <c r="V242" i="5" s="1"/>
  <c r="X242" i="5" s="1"/>
  <c r="Y242" i="5" s="1"/>
  <c r="V243" i="5" s="1"/>
  <c r="X243" i="5" s="1"/>
  <c r="Y243" i="5" s="1"/>
  <c r="V244" i="5" s="1"/>
  <c r="X244" i="5" s="1"/>
  <c r="Y244" i="5" s="1"/>
  <c r="V245" i="5" s="1"/>
  <c r="X245" i="5" s="1"/>
  <c r="Y245" i="5" s="1"/>
  <c r="V246" i="5" s="1"/>
  <c r="X246" i="5" s="1"/>
  <c r="Y246" i="5" s="1"/>
  <c r="V247" i="5" s="1"/>
  <c r="X247" i="5" s="1"/>
  <c r="Y247" i="5" s="1"/>
  <c r="V248" i="5" s="1"/>
  <c r="X248" i="5" s="1"/>
  <c r="Y248" i="5" s="1"/>
  <c r="V249" i="5" s="1"/>
  <c r="X249" i="5" s="1"/>
  <c r="Y249" i="5" s="1"/>
  <c r="V250" i="5" s="1"/>
  <c r="X250" i="5" s="1"/>
  <c r="Y250" i="5" s="1"/>
  <c r="V251" i="5" s="1"/>
  <c r="X251" i="5" s="1"/>
  <c r="Y251" i="5" s="1"/>
  <c r="V252" i="5" s="1"/>
  <c r="X252" i="5" s="1"/>
  <c r="Y252" i="5" s="1"/>
  <c r="V253" i="5" s="1"/>
  <c r="X253" i="5" s="1"/>
  <c r="Y253" i="5" s="1"/>
  <c r="V254" i="5" s="1"/>
  <c r="X254" i="5" s="1"/>
  <c r="Y254" i="5" s="1"/>
  <c r="V255" i="5" s="1"/>
  <c r="X255" i="5" s="1"/>
  <c r="Y255" i="5" s="1"/>
  <c r="V256" i="5" s="1"/>
  <c r="X256" i="5" s="1"/>
  <c r="Y256" i="5" s="1"/>
  <c r="V257" i="5" s="1"/>
  <c r="X257" i="5" s="1"/>
  <c r="Y257" i="5" s="1"/>
  <c r="V258" i="5" s="1"/>
  <c r="X258" i="5" s="1"/>
  <c r="Y258" i="5" s="1"/>
  <c r="V259" i="5" s="1"/>
  <c r="X259" i="5" s="1"/>
  <c r="Y259" i="5" s="1"/>
  <c r="V260" i="5" s="1"/>
  <c r="X260" i="5" s="1"/>
  <c r="Y260" i="5" s="1"/>
  <c r="V261" i="5" s="1"/>
  <c r="X261" i="5" s="1"/>
  <c r="Y261" i="5" s="1"/>
  <c r="V262" i="5" s="1"/>
  <c r="X262" i="5" s="1"/>
  <c r="Y262" i="5" s="1"/>
  <c r="V263" i="5" s="1"/>
  <c r="X263" i="5" s="1"/>
  <c r="Y263" i="5" s="1"/>
  <c r="V264" i="5" s="1"/>
  <c r="X264" i="5" s="1"/>
  <c r="Y264" i="5" s="1"/>
  <c r="V265" i="5" s="1"/>
  <c r="X265" i="5" s="1"/>
  <c r="Y265" i="5" s="1"/>
  <c r="V266" i="5" s="1"/>
  <c r="X266" i="5" s="1"/>
  <c r="Y266" i="5" s="1"/>
  <c r="V267" i="5" s="1"/>
  <c r="X267" i="5" s="1"/>
  <c r="Y267" i="5" s="1"/>
  <c r="V268" i="5" s="1"/>
  <c r="X268" i="5" s="1"/>
  <c r="Y268" i="5" s="1"/>
  <c r="V269" i="5" s="1"/>
  <c r="X269" i="5" s="1"/>
  <c r="Y269" i="5" s="1"/>
  <c r="V270" i="5" s="1"/>
  <c r="X270" i="5" s="1"/>
  <c r="Y270" i="5" s="1"/>
  <c r="V271" i="5" s="1"/>
  <c r="X271" i="5" s="1"/>
  <c r="Y271" i="5" s="1"/>
  <c r="V272" i="5" s="1"/>
  <c r="X272" i="5" s="1"/>
  <c r="Y272" i="5" s="1"/>
  <c r="V273" i="5" s="1"/>
  <c r="X273" i="5" s="1"/>
  <c r="Y273" i="5" s="1"/>
  <c r="V274" i="5" s="1"/>
  <c r="X274" i="5" s="1"/>
  <c r="Y274" i="5" s="1"/>
  <c r="V275" i="5" s="1"/>
  <c r="X275" i="5" s="1"/>
  <c r="Y275" i="5" s="1"/>
  <c r="V276" i="5" s="1"/>
  <c r="X276" i="5" s="1"/>
  <c r="Y276" i="5" s="1"/>
  <c r="V277" i="5" s="1"/>
  <c r="X277" i="5" s="1"/>
  <c r="Y277" i="5" s="1"/>
  <c r="V278" i="5" s="1"/>
  <c r="X278" i="5" s="1"/>
  <c r="Y278" i="5" s="1"/>
  <c r="V279" i="5" s="1"/>
  <c r="X279" i="5" s="1"/>
  <c r="Y279" i="5" s="1"/>
  <c r="V280" i="5" s="1"/>
  <c r="X280" i="5" s="1"/>
  <c r="Y280" i="5" s="1"/>
  <c r="V281" i="5" s="1"/>
  <c r="X281" i="5" s="1"/>
  <c r="Y281" i="5" s="1"/>
  <c r="V282" i="5" s="1"/>
  <c r="X282" i="5" s="1"/>
  <c r="Y282" i="5" s="1"/>
  <c r="V283" i="5" s="1"/>
  <c r="X283" i="5" s="1"/>
  <c r="Y283" i="5" s="1"/>
  <c r="V284" i="5" s="1"/>
  <c r="X284" i="5" s="1"/>
  <c r="Y284" i="5" s="1"/>
  <c r="V285" i="5" s="1"/>
  <c r="X285" i="5" s="1"/>
  <c r="Y285" i="5" s="1"/>
  <c r="V286" i="5" s="1"/>
  <c r="X286" i="5" s="1"/>
  <c r="Y286" i="5" s="1"/>
  <c r="V287" i="5" s="1"/>
  <c r="X287" i="5" s="1"/>
  <c r="Y287" i="5" s="1"/>
  <c r="V288" i="5" s="1"/>
  <c r="X288" i="5" s="1"/>
  <c r="Y288" i="5" s="1"/>
  <c r="V289" i="5" s="1"/>
  <c r="X289" i="5" s="1"/>
  <c r="Y289" i="5" s="1"/>
  <c r="V290" i="5" s="1"/>
  <c r="X290" i="5" s="1"/>
  <c r="Y290" i="5" s="1"/>
  <c r="V291" i="5" s="1"/>
  <c r="X291" i="5" s="1"/>
  <c r="Y291" i="5" s="1"/>
  <c r="V292" i="5" s="1"/>
  <c r="X292" i="5" s="1"/>
  <c r="Y292" i="5" s="1"/>
  <c r="V293" i="5" s="1"/>
  <c r="X293" i="5" s="1"/>
  <c r="Y293" i="5" s="1"/>
  <c r="V294" i="5" s="1"/>
  <c r="X294" i="5" s="1"/>
  <c r="Y294" i="5" s="1"/>
  <c r="V295" i="5" s="1"/>
  <c r="X295" i="5" s="1"/>
  <c r="Y295" i="5" s="1"/>
  <c r="V296" i="5" s="1"/>
  <c r="X296" i="5" s="1"/>
  <c r="Y296" i="5" s="1"/>
  <c r="V297" i="5" s="1"/>
  <c r="X297" i="5" s="1"/>
  <c r="Y297" i="5" s="1"/>
  <c r="V298" i="5" s="1"/>
  <c r="X298" i="5" s="1"/>
  <c r="Y298" i="5" s="1"/>
  <c r="V299" i="5" s="1"/>
  <c r="X299" i="5" s="1"/>
  <c r="Y299" i="5" s="1"/>
  <c r="V300" i="5" s="1"/>
  <c r="X300" i="5" s="1"/>
  <c r="Y300" i="5" s="1"/>
  <c r="V301" i="5" s="1"/>
  <c r="X301" i="5" s="1"/>
  <c r="Y301" i="5" s="1"/>
  <c r="V302" i="5" s="1"/>
  <c r="X302" i="5" s="1"/>
  <c r="Y302" i="5" s="1"/>
  <c r="V303" i="5" s="1"/>
  <c r="X303" i="5" s="1"/>
  <c r="Y303" i="5" s="1"/>
  <c r="V304" i="5" s="1"/>
  <c r="X304" i="5" s="1"/>
  <c r="Y304" i="5" s="1"/>
  <c r="V305" i="5" s="1"/>
  <c r="X305" i="5" s="1"/>
  <c r="Y305" i="5" s="1"/>
  <c r="V306" i="5" s="1"/>
  <c r="X306" i="5" s="1"/>
  <c r="Y306" i="5" s="1"/>
  <c r="V307" i="5" s="1"/>
  <c r="X307" i="5" s="1"/>
  <c r="Y307" i="5" s="1"/>
  <c r="V308" i="5" s="1"/>
  <c r="X308" i="5" s="1"/>
  <c r="Y308" i="5" s="1"/>
  <c r="V309" i="5" s="1"/>
  <c r="X309" i="5" s="1"/>
  <c r="Y309" i="5" s="1"/>
  <c r="V310" i="5" s="1"/>
  <c r="X310" i="5" s="1"/>
  <c r="Y310" i="5" s="1"/>
  <c r="V311" i="5" s="1"/>
  <c r="X311" i="5" s="1"/>
  <c r="Y311" i="5" s="1"/>
  <c r="V312" i="5" s="1"/>
  <c r="X312" i="5" s="1"/>
  <c r="Y312" i="5" s="1"/>
  <c r="V313" i="5" s="1"/>
  <c r="X313" i="5" s="1"/>
  <c r="Y313" i="5" s="1"/>
  <c r="V314" i="5" s="1"/>
  <c r="X314" i="5" s="1"/>
  <c r="Y314" i="5" s="1"/>
  <c r="V315" i="5" s="1"/>
  <c r="X315" i="5" s="1"/>
  <c r="Y315" i="5" s="1"/>
  <c r="V316" i="5" s="1"/>
  <c r="X316" i="5" s="1"/>
  <c r="Y316" i="5" s="1"/>
  <c r="V317" i="5" s="1"/>
  <c r="X317" i="5" s="1"/>
  <c r="Y317" i="5" s="1"/>
  <c r="V318" i="5" s="1"/>
  <c r="X318" i="5" s="1"/>
  <c r="Y318" i="5" s="1"/>
  <c r="V319" i="5" s="1"/>
  <c r="X319" i="5" s="1"/>
  <c r="Y319" i="5" s="1"/>
  <c r="V320" i="5" s="1"/>
  <c r="X320" i="5" s="1"/>
  <c r="Y320" i="5" s="1"/>
  <c r="V321" i="5" s="1"/>
  <c r="X321" i="5" s="1"/>
  <c r="Y321" i="5" s="1"/>
  <c r="V322" i="5" s="1"/>
  <c r="X322" i="5" s="1"/>
  <c r="Y322" i="5" s="1"/>
  <c r="V323" i="5" s="1"/>
  <c r="X323" i="5" s="1"/>
  <c r="Y323" i="5" s="1"/>
  <c r="V324" i="5" s="1"/>
  <c r="X324" i="5" s="1"/>
  <c r="Y324" i="5" s="1"/>
  <c r="V325" i="5" s="1"/>
  <c r="X325" i="5" s="1"/>
  <c r="Y325" i="5" s="1"/>
  <c r="V326" i="5" s="1"/>
  <c r="X326" i="5" s="1"/>
  <c r="Y326" i="5" s="1"/>
  <c r="V327" i="5" s="1"/>
  <c r="X327" i="5" s="1"/>
  <c r="Y327" i="5" s="1"/>
  <c r="V328" i="5" s="1"/>
  <c r="X328" i="5" s="1"/>
  <c r="Y328" i="5" s="1"/>
  <c r="V329" i="5" s="1"/>
  <c r="X329" i="5" s="1"/>
  <c r="Y329" i="5" s="1"/>
  <c r="V330" i="5" s="1"/>
  <c r="X330" i="5" s="1"/>
  <c r="Y330" i="5" s="1"/>
  <c r="V331" i="5" s="1"/>
  <c r="X331" i="5" s="1"/>
  <c r="Y331" i="5" s="1"/>
  <c r="V332" i="5" s="1"/>
  <c r="X332" i="5" s="1"/>
  <c r="Y332" i="5" s="1"/>
  <c r="V333" i="5" s="1"/>
  <c r="X333" i="5" s="1"/>
  <c r="Y333" i="5" s="1"/>
  <c r="V334" i="5" s="1"/>
  <c r="X334" i="5" s="1"/>
  <c r="Y334" i="5" s="1"/>
  <c r="V335" i="5" s="1"/>
  <c r="X335" i="5" s="1"/>
  <c r="Y335" i="5" s="1"/>
  <c r="V336" i="5" s="1"/>
  <c r="X336" i="5" s="1"/>
  <c r="Y336" i="5" s="1"/>
  <c r="V337" i="5" s="1"/>
  <c r="X337" i="5" s="1"/>
  <c r="Y337" i="5" s="1"/>
  <c r="V338" i="5" s="1"/>
  <c r="X338" i="5" s="1"/>
  <c r="Y338" i="5" s="1"/>
  <c r="V339" i="5" s="1"/>
  <c r="X339" i="5" s="1"/>
  <c r="Y339" i="5" s="1"/>
  <c r="V340" i="5" s="1"/>
  <c r="X340" i="5" s="1"/>
  <c r="Y340" i="5" s="1"/>
  <c r="V341" i="5" s="1"/>
  <c r="X341" i="5" s="1"/>
  <c r="Y341" i="5" s="1"/>
  <c r="V342" i="5" s="1"/>
  <c r="X342" i="5" s="1"/>
  <c r="Y342" i="5" s="1"/>
  <c r="V343" i="5" s="1"/>
  <c r="X343" i="5" s="1"/>
  <c r="Y343" i="5" s="1"/>
  <c r="V344" i="5" s="1"/>
  <c r="X344" i="5" s="1"/>
  <c r="Y344" i="5" s="1"/>
  <c r="V345" i="5" s="1"/>
  <c r="X345" i="5" s="1"/>
  <c r="Y345" i="5" s="1"/>
  <c r="V346" i="5" s="1"/>
  <c r="X346" i="5" s="1"/>
  <c r="Y346" i="5" s="1"/>
  <c r="V347" i="5" s="1"/>
  <c r="X347" i="5" s="1"/>
  <c r="Y347" i="5" s="1"/>
  <c r="V348" i="5" s="1"/>
  <c r="X348" i="5" s="1"/>
  <c r="Y348" i="5" s="1"/>
  <c r="V349" i="5" s="1"/>
  <c r="X349" i="5" s="1"/>
  <c r="Y349" i="5" s="1"/>
  <c r="V350" i="5" s="1"/>
  <c r="X350" i="5" s="1"/>
  <c r="Y350" i="5" s="1"/>
  <c r="V351" i="5" s="1"/>
  <c r="X351" i="5" s="1"/>
  <c r="Y351" i="5" s="1"/>
  <c r="V352" i="5" s="1"/>
  <c r="X352" i="5" s="1"/>
  <c r="Y352" i="5" s="1"/>
  <c r="V353" i="5" s="1"/>
  <c r="X353" i="5" s="1"/>
  <c r="Y353" i="5" s="1"/>
  <c r="V354" i="5" s="1"/>
  <c r="X354" i="5" s="1"/>
  <c r="Y354" i="5" s="1"/>
  <c r="V355" i="5" s="1"/>
  <c r="X355" i="5" s="1"/>
  <c r="Y355" i="5" s="1"/>
  <c r="V356" i="5" s="1"/>
  <c r="X356" i="5" s="1"/>
  <c r="Y356" i="5" s="1"/>
  <c r="V357" i="5" s="1"/>
  <c r="X357" i="5" s="1"/>
  <c r="Y357" i="5" s="1"/>
  <c r="V358" i="5" s="1"/>
  <c r="X358" i="5" s="1"/>
  <c r="Y358" i="5" s="1"/>
  <c r="V359" i="5" s="1"/>
  <c r="X359" i="5" s="1"/>
  <c r="Y359" i="5" s="1"/>
  <c r="V360" i="5" s="1"/>
  <c r="X360" i="5" s="1"/>
  <c r="Y360" i="5" s="1"/>
  <c r="V361" i="5" s="1"/>
  <c r="X361" i="5" s="1"/>
  <c r="Y361" i="5" s="1"/>
  <c r="V362" i="5" s="1"/>
  <c r="X362" i="5" s="1"/>
  <c r="Y362" i="5" s="1"/>
  <c r="V363" i="5" s="1"/>
  <c r="X363" i="5" s="1"/>
  <c r="Y363" i="5" s="1"/>
  <c r="V364" i="5" s="1"/>
  <c r="X364" i="5" s="1"/>
  <c r="Y364" i="5" s="1"/>
  <c r="V365" i="5" s="1"/>
  <c r="X365" i="5" s="1"/>
  <c r="Y365" i="5" s="1"/>
  <c r="V366" i="5" s="1"/>
  <c r="X366" i="5" s="1"/>
  <c r="Y366" i="5" s="1"/>
  <c r="V367" i="5" s="1"/>
  <c r="X367" i="5" s="1"/>
  <c r="Y367" i="5" s="1"/>
  <c r="V368" i="5" s="1"/>
  <c r="X368" i="5" s="1"/>
  <c r="Y368" i="5" s="1"/>
  <c r="V369" i="5" s="1"/>
  <c r="X369" i="5" s="1"/>
  <c r="Y369" i="5" s="1"/>
  <c r="V370" i="5" s="1"/>
  <c r="X370" i="5" s="1"/>
  <c r="Y370" i="5" s="1"/>
  <c r="V371" i="5" s="1"/>
  <c r="X371" i="5" s="1"/>
  <c r="Y371" i="5" s="1"/>
  <c r="V372" i="5" s="1"/>
  <c r="X372" i="5" s="1"/>
  <c r="Y372" i="5" s="1"/>
  <c r="V373" i="5" s="1"/>
  <c r="X373" i="5" s="1"/>
  <c r="Y373" i="5" s="1"/>
  <c r="V374" i="5" s="1"/>
  <c r="X374" i="5" s="1"/>
  <c r="Y374" i="5" s="1"/>
  <c r="V375" i="5" s="1"/>
  <c r="X375" i="5" s="1"/>
  <c r="Y375" i="5" s="1"/>
  <c r="V376" i="5" s="1"/>
  <c r="X376" i="5" s="1"/>
  <c r="Y376" i="5" s="1"/>
  <c r="V377" i="5" s="1"/>
  <c r="X377" i="5" s="1"/>
  <c r="Y377" i="5" s="1"/>
  <c r="V378" i="5" s="1"/>
  <c r="X378" i="5" s="1"/>
  <c r="Y378" i="5" s="1"/>
  <c r="V379" i="5" s="1"/>
  <c r="X379" i="5" s="1"/>
  <c r="Y379" i="5" s="1"/>
  <c r="V380" i="5" s="1"/>
  <c r="X380" i="5" s="1"/>
  <c r="Y380" i="5" s="1"/>
  <c r="V381" i="5" s="1"/>
  <c r="X381" i="5" s="1"/>
  <c r="Y381" i="5" s="1"/>
  <c r="V382" i="5" s="1"/>
  <c r="X382" i="5" s="1"/>
  <c r="Y382" i="5" s="1"/>
  <c r="V383" i="5" s="1"/>
  <c r="X383" i="5" s="1"/>
  <c r="Y383" i="5" s="1"/>
  <c r="V384" i="5" s="1"/>
  <c r="X384" i="5" s="1"/>
  <c r="Y384" i="5" s="1"/>
  <c r="V385" i="5" s="1"/>
  <c r="X385" i="5" s="1"/>
  <c r="Y385" i="5" s="1"/>
  <c r="V386" i="5" s="1"/>
  <c r="X386" i="5" s="1"/>
  <c r="Y386" i="5" s="1"/>
  <c r="V387" i="5" s="1"/>
  <c r="X387" i="5" s="1"/>
  <c r="Y387" i="5" s="1"/>
  <c r="V388" i="5" s="1"/>
  <c r="X388" i="5" s="1"/>
  <c r="Y388" i="5" s="1"/>
  <c r="V389" i="5" s="1"/>
  <c r="X389" i="5" s="1"/>
  <c r="Y389" i="5" s="1"/>
  <c r="V390" i="5" s="1"/>
  <c r="X390" i="5" s="1"/>
  <c r="Y390" i="5" s="1"/>
  <c r="V391" i="5" s="1"/>
  <c r="X391" i="5" s="1"/>
  <c r="Y391" i="5" s="1"/>
  <c r="V392" i="5" s="1"/>
  <c r="X392" i="5" s="1"/>
  <c r="Y392" i="5" s="1"/>
  <c r="V393" i="5" s="1"/>
  <c r="X393" i="5" s="1"/>
  <c r="Y393" i="5" s="1"/>
  <c r="V394" i="5" s="1"/>
  <c r="X394" i="5" s="1"/>
  <c r="Y394" i="5" s="1"/>
  <c r="V395" i="5" s="1"/>
  <c r="X395" i="5" s="1"/>
  <c r="Y395" i="5" s="1"/>
  <c r="V396" i="5" s="1"/>
  <c r="X396" i="5" s="1"/>
  <c r="Y396" i="5" s="1"/>
  <c r="V397" i="5" s="1"/>
  <c r="X397" i="5" s="1"/>
  <c r="Y397" i="5" s="1"/>
  <c r="V398" i="5" s="1"/>
  <c r="X398" i="5" s="1"/>
  <c r="Y398" i="5" s="1"/>
  <c r="V399" i="5" s="1"/>
  <c r="X399" i="5" s="1"/>
  <c r="Y399" i="5" s="1"/>
  <c r="V400" i="5" s="1"/>
  <c r="X400" i="5" s="1"/>
  <c r="Y400" i="5" s="1"/>
  <c r="V401" i="5" s="1"/>
  <c r="X401" i="5" s="1"/>
  <c r="Y401" i="5" s="1"/>
  <c r="V402" i="5" s="1"/>
  <c r="X402" i="5" s="1"/>
  <c r="Y402" i="5" s="1"/>
  <c r="V403" i="5" s="1"/>
  <c r="X403" i="5" s="1"/>
  <c r="Y403" i="5" s="1"/>
  <c r="V404" i="5" s="1"/>
  <c r="X404" i="5" s="1"/>
  <c r="Y404" i="5" s="1"/>
  <c r="V405" i="5" s="1"/>
  <c r="X405" i="5" s="1"/>
  <c r="Y405" i="5" s="1"/>
  <c r="V406" i="5" s="1"/>
  <c r="X406" i="5" s="1"/>
  <c r="Y406" i="5" s="1"/>
  <c r="V407" i="5" s="1"/>
  <c r="X407" i="5" s="1"/>
  <c r="Y407" i="5" s="1"/>
  <c r="V408" i="5" s="1"/>
  <c r="X408" i="5" s="1"/>
  <c r="Y408" i="5" s="1"/>
  <c r="V409" i="5" s="1"/>
  <c r="X409" i="5" s="1"/>
  <c r="Y409" i="5" s="1"/>
  <c r="V410" i="5" s="1"/>
  <c r="X410" i="5" s="1"/>
  <c r="Y410" i="5" s="1"/>
  <c r="V411" i="5" s="1"/>
  <c r="X411" i="5" s="1"/>
  <c r="Y411" i="5" s="1"/>
  <c r="V412" i="5" s="1"/>
  <c r="X412" i="5" s="1"/>
  <c r="Y412" i="5" s="1"/>
  <c r="V413" i="5" s="1"/>
  <c r="X413" i="5" s="1"/>
  <c r="Y413" i="5" s="1"/>
  <c r="V414" i="5" s="1"/>
  <c r="X414" i="5" s="1"/>
  <c r="Y414" i="5" s="1"/>
  <c r="V415" i="5" s="1"/>
  <c r="X415" i="5" s="1"/>
  <c r="Y415" i="5" s="1"/>
  <c r="V416" i="5" s="1"/>
  <c r="X416" i="5" s="1"/>
  <c r="Y416" i="5" s="1"/>
  <c r="V417" i="5" s="1"/>
  <c r="X417" i="5" s="1"/>
  <c r="Y417" i="5" s="1"/>
  <c r="V418" i="5" s="1"/>
  <c r="X418" i="5" s="1"/>
  <c r="Y418" i="5" s="1"/>
  <c r="V419" i="5" s="1"/>
  <c r="X419" i="5" s="1"/>
  <c r="Y419" i="5" s="1"/>
  <c r="V420" i="5" s="1"/>
  <c r="X420" i="5" s="1"/>
  <c r="Y420" i="5" s="1"/>
  <c r="V421" i="5" s="1"/>
  <c r="X421" i="5" s="1"/>
  <c r="Y421" i="5" s="1"/>
  <c r="V422" i="5" s="1"/>
  <c r="X422" i="5" s="1"/>
  <c r="Y422" i="5" s="1"/>
  <c r="V423" i="5" s="1"/>
  <c r="X423" i="5" s="1"/>
  <c r="Y423" i="5" s="1"/>
  <c r="V424" i="5" s="1"/>
  <c r="X424" i="5" s="1"/>
  <c r="Y424" i="5" s="1"/>
  <c r="V425" i="5" s="1"/>
  <c r="X425" i="5" s="1"/>
  <c r="Y425" i="5" s="1"/>
  <c r="V426" i="5" s="1"/>
  <c r="X426" i="5" s="1"/>
  <c r="Y426" i="5" s="1"/>
  <c r="V427" i="5" s="1"/>
  <c r="X427" i="5" s="1"/>
  <c r="Y427" i="5" s="1"/>
  <c r="V428" i="5" s="1"/>
  <c r="X428" i="5" s="1"/>
  <c r="Y428" i="5" s="1"/>
  <c r="V429" i="5" s="1"/>
  <c r="X429" i="5" s="1"/>
  <c r="Y429" i="5" s="1"/>
  <c r="V430" i="5" s="1"/>
  <c r="X430" i="5" s="1"/>
  <c r="Y430" i="5" s="1"/>
  <c r="V431" i="5" s="1"/>
  <c r="X431" i="5" s="1"/>
  <c r="Y431" i="5" s="1"/>
  <c r="V432" i="5" s="1"/>
  <c r="X432" i="5" s="1"/>
  <c r="Y432" i="5" s="1"/>
  <c r="V433" i="5" s="1"/>
  <c r="X433" i="5" s="1"/>
  <c r="Y433" i="5" s="1"/>
  <c r="V434" i="5" s="1"/>
  <c r="X434" i="5" s="1"/>
  <c r="Y434" i="5" s="1"/>
  <c r="V435" i="5" s="1"/>
  <c r="X435" i="5" s="1"/>
  <c r="Y435" i="5" s="1"/>
  <c r="V436" i="5" s="1"/>
  <c r="X436" i="5" s="1"/>
  <c r="Y436" i="5" s="1"/>
  <c r="V437" i="5" s="1"/>
  <c r="X437" i="5" s="1"/>
  <c r="Y437" i="5" s="1"/>
  <c r="V438" i="5" s="1"/>
  <c r="X438" i="5" s="1"/>
  <c r="Y438" i="5" s="1"/>
  <c r="V439" i="5" s="1"/>
  <c r="X439" i="5" s="1"/>
  <c r="Y439" i="5" s="1"/>
  <c r="V440" i="5" s="1"/>
  <c r="X440" i="5" s="1"/>
  <c r="Y440" i="5" s="1"/>
  <c r="V441" i="5" s="1"/>
  <c r="X441" i="5" s="1"/>
  <c r="Y441" i="5" s="1"/>
  <c r="V442" i="5" s="1"/>
  <c r="X442" i="5" s="1"/>
  <c r="Y442" i="5" s="1"/>
  <c r="V443" i="5" s="1"/>
  <c r="X443" i="5" s="1"/>
  <c r="Y443" i="5" s="1"/>
  <c r="V444" i="5" s="1"/>
  <c r="X444" i="5" s="1"/>
  <c r="Y444" i="5" s="1"/>
  <c r="V445" i="5" s="1"/>
  <c r="X445" i="5" s="1"/>
  <c r="Y445" i="5" s="1"/>
  <c r="V446" i="5" s="1"/>
  <c r="X446" i="5" s="1"/>
  <c r="Y446" i="5" s="1"/>
  <c r="V447" i="5" s="1"/>
  <c r="X447" i="5" s="1"/>
  <c r="Y447" i="5" s="1"/>
  <c r="V448" i="5" s="1"/>
  <c r="X448" i="5" s="1"/>
  <c r="Y448" i="5" s="1"/>
  <c r="V449" i="5" s="1"/>
  <c r="X449" i="5" s="1"/>
  <c r="Y449" i="5" s="1"/>
  <c r="V450" i="5" s="1"/>
  <c r="X450" i="5" s="1"/>
  <c r="Y450" i="5" s="1"/>
  <c r="V451" i="5" s="1"/>
  <c r="X451" i="5" s="1"/>
  <c r="Y451" i="5" s="1"/>
  <c r="V452" i="5" s="1"/>
  <c r="X452" i="5" s="1"/>
  <c r="Y452" i="5" s="1"/>
  <c r="V453" i="5" s="1"/>
  <c r="X453" i="5" s="1"/>
  <c r="Y453" i="5" s="1"/>
  <c r="V454" i="5" s="1"/>
  <c r="X454" i="5" s="1"/>
  <c r="Y454" i="5" s="1"/>
  <c r="V455" i="5" s="1"/>
  <c r="X455" i="5" s="1"/>
  <c r="Y455" i="5" s="1"/>
  <c r="V456" i="5" s="1"/>
  <c r="X456" i="5" s="1"/>
  <c r="Y456" i="5" s="1"/>
  <c r="V457" i="5" s="1"/>
  <c r="X457" i="5" s="1"/>
  <c r="Y457" i="5" s="1"/>
  <c r="V458" i="5" s="1"/>
  <c r="X458" i="5" s="1"/>
  <c r="Y458" i="5" s="1"/>
  <c r="V459" i="5" s="1"/>
  <c r="X459" i="5" s="1"/>
  <c r="Y459" i="5" s="1"/>
  <c r="V460" i="5" s="1"/>
  <c r="X460" i="5" s="1"/>
  <c r="Y460" i="5" s="1"/>
  <c r="V461" i="5" s="1"/>
  <c r="X461" i="5" s="1"/>
  <c r="Y461" i="5" s="1"/>
  <c r="V462" i="5" s="1"/>
  <c r="X462" i="5" s="1"/>
  <c r="Y462" i="5" s="1"/>
  <c r="V463" i="5" s="1"/>
  <c r="X463" i="5" s="1"/>
  <c r="Y463" i="5" s="1"/>
  <c r="V464" i="5" s="1"/>
  <c r="X464" i="5" s="1"/>
  <c r="Y464" i="5" s="1"/>
  <c r="V465" i="5" s="1"/>
  <c r="X465" i="5" s="1"/>
  <c r="Y465" i="5" s="1"/>
  <c r="V466" i="5" s="1"/>
  <c r="X466" i="5" s="1"/>
  <c r="Y466" i="5" s="1"/>
  <c r="V467" i="5" s="1"/>
  <c r="X467" i="5" s="1"/>
  <c r="Y467" i="5" s="1"/>
  <c r="V468" i="5" s="1"/>
  <c r="X468" i="5" s="1"/>
  <c r="Y468" i="5" s="1"/>
  <c r="V469" i="5" s="1"/>
  <c r="X469" i="5" s="1"/>
  <c r="Y469" i="5" s="1"/>
  <c r="V470" i="5" s="1"/>
  <c r="X470" i="5" s="1"/>
  <c r="Y470" i="5" s="1"/>
  <c r="V471" i="5" s="1"/>
  <c r="X471" i="5" s="1"/>
  <c r="Y471" i="5" s="1"/>
  <c r="V472" i="5" s="1"/>
  <c r="X472" i="5" s="1"/>
  <c r="Y472" i="5" s="1"/>
  <c r="V473" i="5" s="1"/>
  <c r="X473" i="5" s="1"/>
  <c r="Y473" i="5" s="1"/>
  <c r="V474" i="5" s="1"/>
  <c r="X474" i="5" s="1"/>
  <c r="Y474" i="5" s="1"/>
  <c r="V475" i="5" s="1"/>
  <c r="X475" i="5" s="1"/>
  <c r="Y475" i="5" s="1"/>
  <c r="V476" i="5" s="1"/>
  <c r="X476" i="5" s="1"/>
  <c r="Y476" i="5" s="1"/>
  <c r="V477" i="5" s="1"/>
  <c r="X477" i="5" s="1"/>
  <c r="Y477" i="5" s="1"/>
  <c r="V478" i="5" s="1"/>
  <c r="X478" i="5" s="1"/>
  <c r="Y478" i="5" s="1"/>
  <c r="V479" i="5" s="1"/>
  <c r="X479" i="5" s="1"/>
  <c r="Y479" i="5" s="1"/>
  <c r="V480" i="5" s="1"/>
  <c r="X480" i="5" s="1"/>
  <c r="Y480" i="5" s="1"/>
  <c r="V481" i="5" s="1"/>
  <c r="X481" i="5" s="1"/>
  <c r="Y481" i="5" s="1"/>
  <c r="V482" i="5" s="1"/>
  <c r="X482" i="5" s="1"/>
  <c r="Y482" i="5" s="1"/>
  <c r="V483" i="5" s="1"/>
  <c r="X483" i="5" s="1"/>
  <c r="Y483" i="5" s="1"/>
  <c r="V484" i="5" s="1"/>
  <c r="X484" i="5" s="1"/>
  <c r="Y484" i="5" s="1"/>
  <c r="V485" i="5" s="1"/>
  <c r="X485" i="5" s="1"/>
  <c r="Y485" i="5" s="1"/>
  <c r="V486" i="5" s="1"/>
  <c r="X486" i="5" s="1"/>
  <c r="Y486" i="5" s="1"/>
  <c r="V487" i="5" s="1"/>
  <c r="X487" i="5" s="1"/>
  <c r="Y487" i="5" s="1"/>
  <c r="V488" i="5" s="1"/>
  <c r="X488" i="5" s="1"/>
  <c r="Y488" i="5" s="1"/>
  <c r="V489" i="5" s="1"/>
  <c r="X489" i="5" s="1"/>
  <c r="Y489" i="5" s="1"/>
  <c r="V490" i="5" s="1"/>
  <c r="X490" i="5" s="1"/>
  <c r="Y490" i="5" s="1"/>
  <c r="V491" i="5" s="1"/>
  <c r="X491" i="5" s="1"/>
  <c r="Y491" i="5" s="1"/>
  <c r="V492" i="5" s="1"/>
  <c r="X492" i="5" s="1"/>
  <c r="Y492" i="5" s="1"/>
  <c r="V493" i="5" s="1"/>
  <c r="X493" i="5" s="1"/>
  <c r="Y493" i="5" s="1"/>
  <c r="V494" i="5" s="1"/>
  <c r="X494" i="5" s="1"/>
  <c r="Y494" i="5" s="1"/>
  <c r="V495" i="5" s="1"/>
  <c r="X495" i="5" s="1"/>
  <c r="Y495" i="5" s="1"/>
  <c r="V496" i="5" s="1"/>
  <c r="X496" i="5" s="1"/>
  <c r="Y496" i="5" s="1"/>
  <c r="V497" i="5" s="1"/>
  <c r="X497" i="5" s="1"/>
  <c r="Y497" i="5" s="1"/>
  <c r="V498" i="5" s="1"/>
  <c r="X498" i="5" s="1"/>
  <c r="Y498" i="5" s="1"/>
  <c r="V499" i="5" s="1"/>
  <c r="X499" i="5" s="1"/>
  <c r="Y499" i="5" s="1"/>
  <c r="V500" i="5" s="1"/>
  <c r="X500" i="5" s="1"/>
  <c r="Y500" i="5" s="1"/>
  <c r="V501" i="5" s="1"/>
  <c r="X501" i="5" s="1"/>
  <c r="Y501" i="5" s="1"/>
  <c r="V502" i="5" s="1"/>
  <c r="X502" i="5" s="1"/>
  <c r="Y502" i="5" s="1"/>
  <c r="V503" i="5" s="1"/>
  <c r="X503" i="5" s="1"/>
  <c r="Y503" i="5" s="1"/>
  <c r="V504" i="5" s="1"/>
  <c r="X504" i="5" s="1"/>
  <c r="Y504" i="5" s="1"/>
  <c r="V505" i="5" s="1"/>
  <c r="X505" i="5" s="1"/>
  <c r="Y505" i="5" s="1"/>
  <c r="V506" i="5" s="1"/>
  <c r="X506" i="5" s="1"/>
  <c r="Y506" i="5" s="1"/>
  <c r="V507" i="5" s="1"/>
  <c r="X507" i="5" s="1"/>
  <c r="Y507" i="5" s="1"/>
  <c r="W52" i="5"/>
  <c r="G49" i="5" s="1"/>
  <c r="V51" i="5"/>
  <c r="I26" i="3"/>
  <c r="I30" i="3" s="1"/>
  <c r="H26" i="3"/>
  <c r="G26" i="3"/>
  <c r="G30" i="3" s="1"/>
  <c r="L92" i="4" l="1"/>
  <c r="M92" i="4" s="1"/>
  <c r="J93" i="4" s="1"/>
  <c r="L93" i="4" s="1"/>
  <c r="M93" i="4" s="1"/>
  <c r="J94" i="4" s="1"/>
  <c r="L94" i="4" s="1"/>
  <c r="M94" i="4" s="1"/>
  <c r="J95" i="4" s="1"/>
  <c r="L95" i="4" s="1"/>
  <c r="M95" i="4" s="1"/>
  <c r="J96" i="4" s="1"/>
  <c r="L96" i="4" s="1"/>
  <c r="M96" i="4" s="1"/>
  <c r="J97" i="4" s="1"/>
  <c r="L97" i="4" s="1"/>
  <c r="M97" i="4" s="1"/>
  <c r="J98" i="4" s="1"/>
  <c r="L98" i="4" s="1"/>
  <c r="M98" i="4" s="1"/>
  <c r="J99" i="4" s="1"/>
  <c r="L99" i="4" s="1"/>
  <c r="M99" i="4" s="1"/>
  <c r="J100" i="4" s="1"/>
  <c r="L100" i="4" s="1"/>
  <c r="M100" i="4" s="1"/>
  <c r="J101" i="4" s="1"/>
  <c r="L101" i="4" s="1"/>
  <c r="M101" i="4" s="1"/>
  <c r="J102" i="4" s="1"/>
  <c r="L102" i="4" s="1"/>
  <c r="M102" i="4" s="1"/>
  <c r="J103" i="4" s="1"/>
  <c r="L103" i="4" s="1"/>
  <c r="M103" i="4" s="1"/>
  <c r="J104" i="4" s="1"/>
  <c r="L104" i="4" s="1"/>
  <c r="M104" i="4" s="1"/>
  <c r="J105" i="4" s="1"/>
  <c r="L105" i="4" s="1"/>
  <c r="M105" i="4" s="1"/>
  <c r="J106" i="4" s="1"/>
  <c r="L106" i="4" s="1"/>
  <c r="M106" i="4" s="1"/>
  <c r="J107" i="4" s="1"/>
  <c r="L107" i="4" s="1"/>
  <c r="M107" i="4" s="1"/>
  <c r="J108" i="4" s="1"/>
  <c r="L108" i="4" s="1"/>
  <c r="M108" i="4" s="1"/>
  <c r="J109" i="4" s="1"/>
  <c r="L109" i="4" s="1"/>
  <c r="M109" i="4" s="1"/>
  <c r="J110" i="4" s="1"/>
  <c r="L110" i="4" s="1"/>
  <c r="M110" i="4" s="1"/>
  <c r="J111" i="4" s="1"/>
  <c r="L111" i="4" s="1"/>
  <c r="M111" i="4" s="1"/>
  <c r="J112" i="4" s="1"/>
  <c r="L112" i="4" s="1"/>
  <c r="M112" i="4" s="1"/>
  <c r="J113" i="4" s="1"/>
  <c r="L113" i="4" s="1"/>
  <c r="M113" i="4" s="1"/>
  <c r="J114" i="4" s="1"/>
  <c r="L114" i="4" s="1"/>
  <c r="M114" i="4" s="1"/>
  <c r="J115" i="4" s="1"/>
  <c r="L115" i="4" s="1"/>
  <c r="M115" i="4" s="1"/>
  <c r="J116" i="4" s="1"/>
  <c r="L116" i="4" s="1"/>
  <c r="M116" i="4" s="1"/>
  <c r="J117" i="4" s="1"/>
  <c r="L117" i="4" s="1"/>
  <c r="M117" i="4" s="1"/>
  <c r="J118" i="4" s="1"/>
  <c r="L118" i="4" s="1"/>
  <c r="M118" i="4" s="1"/>
  <c r="J119" i="4" s="1"/>
  <c r="L119" i="4" s="1"/>
  <c r="M119" i="4" s="1"/>
  <c r="J120" i="4" s="1"/>
  <c r="L120" i="4" s="1"/>
  <c r="M120" i="4" s="1"/>
  <c r="J121" i="4" s="1"/>
  <c r="L121" i="4" s="1"/>
  <c r="M121" i="4" s="1"/>
  <c r="J122" i="4" s="1"/>
  <c r="L122" i="4" s="1"/>
  <c r="M122" i="4" s="1"/>
  <c r="J123" i="4" s="1"/>
  <c r="L123" i="4" s="1"/>
  <c r="M123" i="4" s="1"/>
  <c r="J124" i="4" s="1"/>
  <c r="L124" i="4" s="1"/>
  <c r="M124" i="4" s="1"/>
  <c r="J125" i="4" s="1"/>
  <c r="L125" i="4" s="1"/>
  <c r="M125" i="4" s="1"/>
  <c r="J126" i="4" s="1"/>
  <c r="L126" i="4" s="1"/>
  <c r="M126" i="4" s="1"/>
  <c r="J127" i="4" s="1"/>
  <c r="L127" i="4" s="1"/>
  <c r="M127" i="4" s="1"/>
  <c r="K52" i="4"/>
  <c r="E43" i="4" s="1"/>
  <c r="J51" i="4"/>
  <c r="R128" i="5"/>
  <c r="S128" i="5" s="1"/>
  <c r="P129" i="5" s="1"/>
  <c r="R129" i="5" s="1"/>
  <c r="S129" i="5" s="1"/>
  <c r="P130" i="5" s="1"/>
  <c r="R130" i="5" s="1"/>
  <c r="S130" i="5" s="1"/>
  <c r="P131" i="5" s="1"/>
  <c r="R131" i="5" s="1"/>
  <c r="S131" i="5" s="1"/>
  <c r="P132" i="5" s="1"/>
  <c r="R132" i="5" s="1"/>
  <c r="S132" i="5" s="1"/>
  <c r="P133" i="5" s="1"/>
  <c r="R133" i="5" s="1"/>
  <c r="S133" i="5" s="1"/>
  <c r="P134" i="5" s="1"/>
  <c r="R134" i="5" s="1"/>
  <c r="S134" i="5" s="1"/>
  <c r="P135" i="5" s="1"/>
  <c r="R135" i="5" s="1"/>
  <c r="S135" i="5" s="1"/>
  <c r="P136" i="5" s="1"/>
  <c r="R136" i="5" s="1"/>
  <c r="S136" i="5" s="1"/>
  <c r="P137" i="5" s="1"/>
  <c r="R137" i="5" s="1"/>
  <c r="S137" i="5" s="1"/>
  <c r="P138" i="5" s="1"/>
  <c r="R138" i="5" s="1"/>
  <c r="S138" i="5" s="1"/>
  <c r="P139" i="5" s="1"/>
  <c r="R139" i="5" s="1"/>
  <c r="S139" i="5" s="1"/>
  <c r="P140" i="5" s="1"/>
  <c r="R140" i="5" s="1"/>
  <c r="S140" i="5" s="1"/>
  <c r="P141" i="5" s="1"/>
  <c r="R141" i="5" s="1"/>
  <c r="S141" i="5" s="1"/>
  <c r="P142" i="5" s="1"/>
  <c r="R142" i="5" s="1"/>
  <c r="S142" i="5" s="1"/>
  <c r="P143" i="5" s="1"/>
  <c r="R143" i="5" s="1"/>
  <c r="S143" i="5" s="1"/>
  <c r="P144" i="5" s="1"/>
  <c r="R144" i="5" s="1"/>
  <c r="S144" i="5" s="1"/>
  <c r="P145" i="5" s="1"/>
  <c r="R145" i="5" s="1"/>
  <c r="S145" i="5" s="1"/>
  <c r="P146" i="5" s="1"/>
  <c r="R146" i="5" s="1"/>
  <c r="S146" i="5" s="1"/>
  <c r="P147" i="5" s="1"/>
  <c r="R147" i="5" s="1"/>
  <c r="S147" i="5" s="1"/>
  <c r="P148" i="5" s="1"/>
  <c r="R148" i="5" s="1"/>
  <c r="S148" i="5" s="1"/>
  <c r="P149" i="5" s="1"/>
  <c r="R149" i="5" s="1"/>
  <c r="S149" i="5" s="1"/>
  <c r="P150" i="5" s="1"/>
  <c r="R150" i="5" s="1"/>
  <c r="S150" i="5" s="1"/>
  <c r="P151" i="5" s="1"/>
  <c r="R151" i="5" s="1"/>
  <c r="S151" i="5" s="1"/>
  <c r="P152" i="5" s="1"/>
  <c r="R152" i="5" s="1"/>
  <c r="S152" i="5" s="1"/>
  <c r="P153" i="5" s="1"/>
  <c r="R153" i="5" s="1"/>
  <c r="S153" i="5" s="1"/>
  <c r="P154" i="5" s="1"/>
  <c r="R154" i="5" s="1"/>
  <c r="S154" i="5" s="1"/>
  <c r="P155" i="5" s="1"/>
  <c r="R155" i="5" s="1"/>
  <c r="S155" i="5" s="1"/>
  <c r="P156" i="5" s="1"/>
  <c r="R156" i="5" s="1"/>
  <c r="S156" i="5" s="1"/>
  <c r="P157" i="5" s="1"/>
  <c r="R157" i="5" s="1"/>
  <c r="S157" i="5" s="1"/>
  <c r="P158" i="5" s="1"/>
  <c r="R158" i="5" s="1"/>
  <c r="S158" i="5" s="1"/>
  <c r="P159" i="5" s="1"/>
  <c r="R159" i="5" s="1"/>
  <c r="S159" i="5" s="1"/>
  <c r="P160" i="5" s="1"/>
  <c r="R160" i="5" s="1"/>
  <c r="S160" i="5" s="1"/>
  <c r="P161" i="5" s="1"/>
  <c r="R161" i="5" s="1"/>
  <c r="S161" i="5" s="1"/>
  <c r="P162" i="5" s="1"/>
  <c r="R162" i="5" s="1"/>
  <c r="S162" i="5" s="1"/>
  <c r="P163" i="5" s="1"/>
  <c r="R163" i="5" s="1"/>
  <c r="S163" i="5" s="1"/>
  <c r="P164" i="5" s="1"/>
  <c r="R164" i="5" s="1"/>
  <c r="S164" i="5" s="1"/>
  <c r="P165" i="5" s="1"/>
  <c r="R165" i="5" s="1"/>
  <c r="S165" i="5" s="1"/>
  <c r="P166" i="5" s="1"/>
  <c r="R166" i="5" s="1"/>
  <c r="S166" i="5" s="1"/>
  <c r="P167" i="5" s="1"/>
  <c r="R167" i="5" s="1"/>
  <c r="S167" i="5" s="1"/>
  <c r="P168" i="5" s="1"/>
  <c r="R168" i="5" s="1"/>
  <c r="S168" i="5" s="1"/>
  <c r="P169" i="5" s="1"/>
  <c r="R169" i="5" s="1"/>
  <c r="S169" i="5" s="1"/>
  <c r="P170" i="5" s="1"/>
  <c r="R170" i="5" s="1"/>
  <c r="S170" i="5" s="1"/>
  <c r="P171" i="5" s="1"/>
  <c r="R171" i="5" s="1"/>
  <c r="S171" i="5" s="1"/>
  <c r="P172" i="5" s="1"/>
  <c r="R172" i="5" s="1"/>
  <c r="S172" i="5" s="1"/>
  <c r="P173" i="5" s="1"/>
  <c r="R173" i="5" s="1"/>
  <c r="S173" i="5" s="1"/>
  <c r="P174" i="5" s="1"/>
  <c r="R174" i="5" s="1"/>
  <c r="S174" i="5" s="1"/>
  <c r="P175" i="5" s="1"/>
  <c r="R175" i="5" s="1"/>
  <c r="S175" i="5" s="1"/>
  <c r="P51" i="5"/>
  <c r="Q52" i="5"/>
  <c r="F46" i="5" s="1"/>
  <c r="J51" i="5"/>
  <c r="L92" i="5"/>
  <c r="M92" i="5" s="1"/>
  <c r="J93" i="5" s="1"/>
  <c r="L93" i="5" s="1"/>
  <c r="M93" i="5" s="1"/>
  <c r="J94" i="5" s="1"/>
  <c r="L94" i="5" s="1"/>
  <c r="M94" i="5" s="1"/>
  <c r="J95" i="5" s="1"/>
  <c r="L95" i="5" s="1"/>
  <c r="M95" i="5" s="1"/>
  <c r="J96" i="5" s="1"/>
  <c r="L96" i="5" s="1"/>
  <c r="M96" i="5" s="1"/>
  <c r="J97" i="5" s="1"/>
  <c r="L97" i="5" s="1"/>
  <c r="M97" i="5" s="1"/>
  <c r="J98" i="5" s="1"/>
  <c r="L98" i="5" s="1"/>
  <c r="M98" i="5" s="1"/>
  <c r="J99" i="5" s="1"/>
  <c r="L99" i="5" s="1"/>
  <c r="M99" i="5" s="1"/>
  <c r="J100" i="5" s="1"/>
  <c r="L100" i="5" s="1"/>
  <c r="M100" i="5" s="1"/>
  <c r="J101" i="5" s="1"/>
  <c r="L101" i="5" s="1"/>
  <c r="M101" i="5" s="1"/>
  <c r="J102" i="5" s="1"/>
  <c r="L102" i="5" s="1"/>
  <c r="M102" i="5" s="1"/>
  <c r="J103" i="5" s="1"/>
  <c r="L103" i="5" s="1"/>
  <c r="M103" i="5" s="1"/>
  <c r="J104" i="5" s="1"/>
  <c r="L104" i="5" s="1"/>
  <c r="M104" i="5" s="1"/>
  <c r="J105" i="5" s="1"/>
  <c r="L105" i="5" s="1"/>
  <c r="M105" i="5" s="1"/>
  <c r="J106" i="5" s="1"/>
  <c r="L106" i="5" s="1"/>
  <c r="M106" i="5" s="1"/>
  <c r="J107" i="5" s="1"/>
  <c r="L107" i="5" s="1"/>
  <c r="M107" i="5" s="1"/>
  <c r="J108" i="5" s="1"/>
  <c r="L108" i="5" s="1"/>
  <c r="M108" i="5" s="1"/>
  <c r="J109" i="5" s="1"/>
  <c r="L109" i="5" s="1"/>
  <c r="M109" i="5" s="1"/>
  <c r="J110" i="5" s="1"/>
  <c r="L110" i="5" s="1"/>
  <c r="M110" i="5" s="1"/>
  <c r="J111" i="5" s="1"/>
  <c r="L111" i="5" s="1"/>
  <c r="M111" i="5" s="1"/>
  <c r="J112" i="5" s="1"/>
  <c r="L112" i="5" s="1"/>
  <c r="M112" i="5" s="1"/>
  <c r="J113" i="5" s="1"/>
  <c r="L113" i="5" s="1"/>
  <c r="M113" i="5" s="1"/>
  <c r="J114" i="5" s="1"/>
  <c r="L114" i="5" s="1"/>
  <c r="M114" i="5" s="1"/>
  <c r="J115" i="5" s="1"/>
  <c r="L115" i="5" s="1"/>
  <c r="M115" i="5" s="1"/>
  <c r="J116" i="5" s="1"/>
  <c r="L116" i="5" s="1"/>
  <c r="M116" i="5" s="1"/>
  <c r="J117" i="5" s="1"/>
  <c r="L117" i="5" s="1"/>
  <c r="M117" i="5" s="1"/>
  <c r="J118" i="5" s="1"/>
  <c r="L118" i="5" s="1"/>
  <c r="M118" i="5" s="1"/>
  <c r="J119" i="5" s="1"/>
  <c r="L119" i="5" s="1"/>
  <c r="M119" i="5" s="1"/>
  <c r="J120" i="5" s="1"/>
  <c r="L120" i="5" s="1"/>
  <c r="M120" i="5" s="1"/>
  <c r="J121" i="5" s="1"/>
  <c r="L121" i="5" s="1"/>
  <c r="M121" i="5" s="1"/>
  <c r="J122" i="5" s="1"/>
  <c r="L122" i="5" s="1"/>
  <c r="M122" i="5" s="1"/>
  <c r="J123" i="5" s="1"/>
  <c r="L123" i="5" s="1"/>
  <c r="M123" i="5" s="1"/>
  <c r="J124" i="5" s="1"/>
  <c r="L124" i="5" s="1"/>
  <c r="M124" i="5" s="1"/>
  <c r="J125" i="5" s="1"/>
  <c r="L125" i="5" s="1"/>
  <c r="M125" i="5" s="1"/>
  <c r="J126" i="5" s="1"/>
  <c r="L126" i="5" s="1"/>
  <c r="M126" i="5" s="1"/>
  <c r="J127" i="5" s="1"/>
  <c r="L127" i="5" s="1"/>
  <c r="M127" i="5" s="1"/>
  <c r="K52" i="5"/>
  <c r="E43" i="5" s="1"/>
  <c r="R128" i="4"/>
  <c r="S128" i="4" s="1"/>
  <c r="P129" i="4" s="1"/>
  <c r="R129" i="4" s="1"/>
  <c r="S129" i="4" s="1"/>
  <c r="P130" i="4" s="1"/>
  <c r="R130" i="4" s="1"/>
  <c r="S130" i="4" s="1"/>
  <c r="P131" i="4" s="1"/>
  <c r="R131" i="4" s="1"/>
  <c r="S131" i="4" s="1"/>
  <c r="P132" i="4" s="1"/>
  <c r="R132" i="4" s="1"/>
  <c r="S132" i="4" s="1"/>
  <c r="P133" i="4" s="1"/>
  <c r="R133" i="4" s="1"/>
  <c r="S133" i="4" s="1"/>
  <c r="P134" i="4" s="1"/>
  <c r="R134" i="4" s="1"/>
  <c r="S134" i="4" s="1"/>
  <c r="P135" i="4" s="1"/>
  <c r="R135" i="4" s="1"/>
  <c r="S135" i="4" s="1"/>
  <c r="P136" i="4" s="1"/>
  <c r="R136" i="4" s="1"/>
  <c r="S136" i="4" s="1"/>
  <c r="P137" i="4" s="1"/>
  <c r="R137" i="4" s="1"/>
  <c r="S137" i="4" s="1"/>
  <c r="P138" i="4" s="1"/>
  <c r="R138" i="4" s="1"/>
  <c r="S138" i="4" s="1"/>
  <c r="P139" i="4" s="1"/>
  <c r="R139" i="4" s="1"/>
  <c r="S139" i="4" s="1"/>
  <c r="P140" i="4" s="1"/>
  <c r="R140" i="4" s="1"/>
  <c r="S140" i="4" s="1"/>
  <c r="P141" i="4" s="1"/>
  <c r="R141" i="4" s="1"/>
  <c r="S141" i="4" s="1"/>
  <c r="P142" i="4" s="1"/>
  <c r="R142" i="4" s="1"/>
  <c r="S142" i="4" s="1"/>
  <c r="P143" i="4" s="1"/>
  <c r="R143" i="4" s="1"/>
  <c r="S143" i="4" s="1"/>
  <c r="P144" i="4" s="1"/>
  <c r="R144" i="4" s="1"/>
  <c r="S144" i="4" s="1"/>
  <c r="P145" i="4" s="1"/>
  <c r="R145" i="4" s="1"/>
  <c r="S145" i="4" s="1"/>
  <c r="P146" i="4" s="1"/>
  <c r="R146" i="4" s="1"/>
  <c r="S146" i="4" s="1"/>
  <c r="P147" i="4" s="1"/>
  <c r="R147" i="4" s="1"/>
  <c r="S147" i="4" s="1"/>
  <c r="P148" i="4" s="1"/>
  <c r="R148" i="4" s="1"/>
  <c r="S148" i="4" s="1"/>
  <c r="P149" i="4" s="1"/>
  <c r="R149" i="4" s="1"/>
  <c r="S149" i="4" s="1"/>
  <c r="P150" i="4" s="1"/>
  <c r="R150" i="4" s="1"/>
  <c r="S150" i="4" s="1"/>
  <c r="P151" i="4" s="1"/>
  <c r="R151" i="4" s="1"/>
  <c r="S151" i="4" s="1"/>
  <c r="P152" i="4" s="1"/>
  <c r="R152" i="4" s="1"/>
  <c r="S152" i="4" s="1"/>
  <c r="P153" i="4" s="1"/>
  <c r="R153" i="4" s="1"/>
  <c r="S153" i="4" s="1"/>
  <c r="P154" i="4" s="1"/>
  <c r="R154" i="4" s="1"/>
  <c r="S154" i="4" s="1"/>
  <c r="P155" i="4" s="1"/>
  <c r="R155" i="4" s="1"/>
  <c r="S155" i="4" s="1"/>
  <c r="P156" i="4" s="1"/>
  <c r="R156" i="4" s="1"/>
  <c r="S156" i="4" s="1"/>
  <c r="P157" i="4" s="1"/>
  <c r="R157" i="4" s="1"/>
  <c r="S157" i="4" s="1"/>
  <c r="P158" i="4" s="1"/>
  <c r="R158" i="4" s="1"/>
  <c r="S158" i="4" s="1"/>
  <c r="P159" i="4" s="1"/>
  <c r="R159" i="4" s="1"/>
  <c r="S159" i="4" s="1"/>
  <c r="P160" i="4" s="1"/>
  <c r="R160" i="4" s="1"/>
  <c r="S160" i="4" s="1"/>
  <c r="P161" i="4" s="1"/>
  <c r="R161" i="4" s="1"/>
  <c r="S161" i="4" s="1"/>
  <c r="P162" i="4" s="1"/>
  <c r="R162" i="4" s="1"/>
  <c r="S162" i="4" s="1"/>
  <c r="P163" i="4" s="1"/>
  <c r="R163" i="4" s="1"/>
  <c r="S163" i="4" s="1"/>
  <c r="P164" i="4" s="1"/>
  <c r="R164" i="4" s="1"/>
  <c r="S164" i="4" s="1"/>
  <c r="P165" i="4" s="1"/>
  <c r="R165" i="4" s="1"/>
  <c r="S165" i="4" s="1"/>
  <c r="P166" i="4" s="1"/>
  <c r="R166" i="4" s="1"/>
  <c r="S166" i="4" s="1"/>
  <c r="P167" i="4" s="1"/>
  <c r="R167" i="4" s="1"/>
  <c r="S167" i="4" s="1"/>
  <c r="P168" i="4" s="1"/>
  <c r="R168" i="4" s="1"/>
  <c r="S168" i="4" s="1"/>
  <c r="P169" i="4" s="1"/>
  <c r="R169" i="4" s="1"/>
  <c r="S169" i="4" s="1"/>
  <c r="P170" i="4" s="1"/>
  <c r="R170" i="4" s="1"/>
  <c r="S170" i="4" s="1"/>
  <c r="P171" i="4" s="1"/>
  <c r="R171" i="4" s="1"/>
  <c r="S171" i="4" s="1"/>
  <c r="P172" i="4" s="1"/>
  <c r="R172" i="4" s="1"/>
  <c r="S172" i="4" s="1"/>
  <c r="P173" i="4" s="1"/>
  <c r="R173" i="4" s="1"/>
  <c r="S173" i="4" s="1"/>
  <c r="P174" i="4" s="1"/>
  <c r="R174" i="4" s="1"/>
  <c r="S174" i="4" s="1"/>
  <c r="P175" i="4" s="1"/>
  <c r="R175" i="4" s="1"/>
  <c r="S175" i="4" s="1"/>
  <c r="P51" i="4"/>
  <c r="Q52" i="4"/>
  <c r="F46" i="4" s="1"/>
  <c r="E29" i="3"/>
  <c r="E27" i="3"/>
  <c r="J27" i="3" l="1"/>
  <c r="J30" i="3" s="1"/>
  <c r="K27" i="3"/>
  <c r="K30" i="3" s="1"/>
  <c r="M29" i="3"/>
  <c r="M30" i="3" s="1"/>
  <c r="E28" i="3"/>
  <c r="L28" i="3" s="1"/>
  <c r="L30" i="3" s="1"/>
  <c r="E25" i="3" l="1"/>
  <c r="E18" i="3"/>
  <c r="E19" i="3" s="1"/>
  <c r="H25" i="3" l="1"/>
  <c r="H30" i="3" s="1"/>
  <c r="E20" i="3"/>
  <c r="E36" i="3" s="1"/>
  <c r="E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5" authorId="0" shapeId="0" xr:uid="{EDD4B191-7926-E14E-B569-025F30CB38E7}">
      <text>
        <r>
          <rPr>
            <b/>
            <sz val="9"/>
            <color rgb="FF000000"/>
            <rFont val="Tahoma"/>
            <family val="2"/>
          </rPr>
          <t xml:space="preserve"> Insert whole numbers only without % sign. Should not be more than 7%</t>
        </r>
      </text>
    </comment>
    <comment ref="H6" authorId="0" shapeId="0" xr:uid="{4F188023-1480-1C4F-9671-6F253113C0E3}">
      <text>
        <r>
          <rPr>
            <b/>
            <sz val="9"/>
            <color rgb="FF000000"/>
            <rFont val="Tahoma"/>
            <family val="2"/>
          </rPr>
          <t>Assumed that Liquid fund returns is around Inflation return. And should not be changed indivudually</t>
        </r>
      </text>
    </comment>
    <comment ref="G26" authorId="0" shapeId="0" xr:uid="{40E52B70-DF91-8340-9BE5-58965CC48441}">
      <text>
        <r>
          <rPr>
            <b/>
            <sz val="9"/>
            <color rgb="FF000000"/>
            <rFont val="Tahoma"/>
            <family val="2"/>
          </rPr>
          <t xml:space="preserve">Assumed:
</t>
        </r>
        <r>
          <rPr>
            <b/>
            <sz val="9"/>
            <color rgb="FF000000"/>
            <rFont val="Tahoma"/>
            <family val="2"/>
          </rPr>
          <t>1/3 - Savings</t>
        </r>
      </text>
    </comment>
    <comment ref="H26" authorId="0" shapeId="0" xr:uid="{88E5B3B2-B836-004B-B900-3D8E588C3028}">
      <text>
        <r>
          <rPr>
            <b/>
            <sz val="9"/>
            <color indexed="81"/>
            <rFont val="Tahoma"/>
            <family val="2"/>
          </rPr>
          <t xml:space="preserve">Assumed:
1/3 - Liquid Funds
</t>
        </r>
      </text>
    </comment>
    <comment ref="I26" authorId="0" shapeId="0" xr:uid="{5631AF06-3ED7-5D40-B5EE-1EA4300DD765}">
      <text>
        <r>
          <rPr>
            <b/>
            <sz val="9"/>
            <color indexed="81"/>
            <rFont val="Tahoma"/>
            <family val="2"/>
          </rPr>
          <t xml:space="preserve">Assumed:
1/3 - Fixed Deposits
</t>
        </r>
      </text>
    </comment>
    <comment ref="J27" authorId="0" shapeId="0" xr:uid="{474BC234-6F3E-E14F-8FC9-2A6903842E54}">
      <text>
        <r>
          <rPr>
            <b/>
            <sz val="9"/>
            <color rgb="FF000000"/>
            <rFont val="Tahoma"/>
            <family val="2"/>
          </rPr>
          <t xml:space="preserve">Assumed:
</t>
        </r>
        <r>
          <rPr>
            <b/>
            <sz val="9"/>
            <color rgb="FF000000"/>
            <rFont val="Tahoma"/>
            <family val="2"/>
          </rPr>
          <t>3/5 for senior citizen savings scheme</t>
        </r>
      </text>
    </comment>
    <comment ref="K27" authorId="0" shapeId="0" xr:uid="{DD5EA8F9-9561-154F-B32B-6AFEBBF62BC0}">
      <text>
        <r>
          <rPr>
            <b/>
            <sz val="9"/>
            <color indexed="81"/>
            <rFont val="Tahoma"/>
            <family val="2"/>
          </rPr>
          <t>Assumed:
and balance towards Debt Funds</t>
        </r>
      </text>
    </comment>
  </commentList>
</comments>
</file>

<file path=xl/sharedStrings.xml><?xml version="1.0" encoding="utf-8"?>
<sst xmlns="http://schemas.openxmlformats.org/spreadsheetml/2006/main" count="275" uniqueCount="140">
  <si>
    <t>Bucket Strategy Concept as shared by Finedge Services</t>
  </si>
  <si>
    <t>Bucket 0</t>
  </si>
  <si>
    <t>Bucket 1</t>
  </si>
  <si>
    <t>Bucket 2</t>
  </si>
  <si>
    <t>Bucket 3</t>
  </si>
  <si>
    <t>Bucket 4</t>
  </si>
  <si>
    <t>What is this for ?</t>
  </si>
  <si>
    <r>
      <t xml:space="preserve">This is called as </t>
    </r>
    <r>
      <rPr>
        <b/>
        <sz val="11"/>
        <color rgb="FFFF0000"/>
        <rFont val="Calibri"/>
        <family val="2"/>
        <scheme val="minor"/>
      </rPr>
      <t>emergency bucket</t>
    </r>
    <r>
      <rPr>
        <sz val="11"/>
        <color theme="1"/>
        <rFont val="Calibri"/>
        <family val="2"/>
        <scheme val="minor"/>
      </rPr>
      <t>. Your monthly expenses x 24 months expenses money should be parked here</t>
    </r>
  </si>
  <si>
    <r>
      <t>This is for all the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running expenses</t>
    </r>
    <r>
      <rPr>
        <sz val="11"/>
        <color theme="1"/>
        <rFont val="Calibri"/>
        <family val="2"/>
        <scheme val="minor"/>
      </rPr>
      <t xml:space="preserve"> that you incur ever month for the next 36 months or 3 years</t>
    </r>
  </si>
  <si>
    <r>
      <t>This is for all the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running expenses</t>
    </r>
    <r>
      <rPr>
        <sz val="11"/>
        <color theme="1"/>
        <rFont val="Calibri"/>
        <family val="2"/>
        <scheme val="minor"/>
      </rPr>
      <t xml:space="preserve"> that you will need from 37th month- 72nd month or from 4th year to 6th year which is 36 months</t>
    </r>
  </si>
  <si>
    <r>
      <t xml:space="preserve">This is for all the </t>
    </r>
    <r>
      <rPr>
        <b/>
        <sz val="11"/>
        <color rgb="FFFF0000"/>
        <rFont val="Calibri"/>
        <family val="2"/>
        <scheme val="minor"/>
      </rPr>
      <t>expenses</t>
    </r>
    <r>
      <rPr>
        <sz val="11"/>
        <color theme="1"/>
        <rFont val="Calibri"/>
        <family val="2"/>
        <scheme val="minor"/>
      </rPr>
      <t xml:space="preserve"> that you will need from 73rd month to 120th month which is 48 months</t>
    </r>
  </si>
  <si>
    <r>
      <t xml:space="preserve">This is for all the </t>
    </r>
    <r>
      <rPr>
        <b/>
        <sz val="11"/>
        <color rgb="FFFF0000"/>
        <rFont val="Calibri"/>
        <family val="2"/>
        <scheme val="minor"/>
      </rPr>
      <t>expenses</t>
    </r>
    <r>
      <rPr>
        <sz val="11"/>
        <color theme="1"/>
        <rFont val="Calibri"/>
        <family val="2"/>
        <scheme val="minor"/>
      </rPr>
      <t xml:space="preserve"> that you need from 121st month onwards, that is 10 years from now</t>
    </r>
  </si>
  <si>
    <t>When should this be used?</t>
  </si>
  <si>
    <r>
      <t xml:space="preserve">Only during medical emergencies. </t>
    </r>
    <r>
      <rPr>
        <b/>
        <sz val="11"/>
        <color rgb="FFFF0000"/>
        <rFont val="Calibri"/>
        <family val="2"/>
        <scheme val="minor"/>
      </rPr>
      <t>Not for regular expenses</t>
    </r>
  </si>
  <si>
    <t>1st month - 36th month</t>
  </si>
  <si>
    <t>37th month - 72nd month</t>
  </si>
  <si>
    <t>73rd month- 120th month</t>
  </si>
  <si>
    <t>121st month onwards</t>
  </si>
  <si>
    <t>Where should this money be invested?</t>
  </si>
  <si>
    <t>Joint SB account/ Liquid funds/ Bank fixed deposits</t>
  </si>
  <si>
    <t>Joint SB account and Liquid funds</t>
  </si>
  <si>
    <t>Senior citizen savings scheme, Debt mutual funds, fixed deposits</t>
  </si>
  <si>
    <t xml:space="preserve">Dynamic asset allocation funds </t>
  </si>
  <si>
    <t>Large cap mutual fund , multicap an hybrid mutual funds</t>
  </si>
  <si>
    <t>How to refill the buckets when money exhausts?</t>
  </si>
  <si>
    <r>
      <t xml:space="preserve">To be refilled </t>
    </r>
    <r>
      <rPr>
        <b/>
        <sz val="11"/>
        <color theme="1"/>
        <rFont val="Calibri"/>
        <family val="2"/>
        <scheme val="minor"/>
      </rPr>
      <t xml:space="preserve">from any of </t>
    </r>
    <r>
      <rPr>
        <b/>
        <sz val="11"/>
        <color rgb="FFFF0000"/>
        <rFont val="Calibri"/>
        <family val="2"/>
        <scheme val="minor"/>
      </rPr>
      <t>bucket no.1,2,3</t>
    </r>
  </si>
  <si>
    <r>
      <t xml:space="preserve">Refill from </t>
    </r>
    <r>
      <rPr>
        <b/>
        <sz val="11"/>
        <color theme="1"/>
        <rFont val="Calibri"/>
        <family val="2"/>
        <scheme val="minor"/>
      </rPr>
      <t xml:space="preserve">bucket </t>
    </r>
    <r>
      <rPr>
        <b/>
        <sz val="11"/>
        <color rgb="FFFF0000"/>
        <rFont val="Calibri"/>
        <family val="2"/>
        <scheme val="minor"/>
      </rPr>
      <t>number 2</t>
    </r>
  </si>
  <si>
    <r>
      <t xml:space="preserve">Refill from </t>
    </r>
    <r>
      <rPr>
        <b/>
        <sz val="11"/>
        <color theme="1"/>
        <rFont val="Calibri"/>
        <family val="2"/>
        <scheme val="minor"/>
      </rPr>
      <t xml:space="preserve">Bucket </t>
    </r>
    <r>
      <rPr>
        <b/>
        <sz val="11"/>
        <color rgb="FFFF0000"/>
        <rFont val="Calibri"/>
        <family val="2"/>
        <scheme val="minor"/>
      </rPr>
      <t>number 3</t>
    </r>
  </si>
  <si>
    <r>
      <t xml:space="preserve">Refill from </t>
    </r>
    <r>
      <rPr>
        <b/>
        <sz val="11"/>
        <color theme="1"/>
        <rFont val="Calibri"/>
        <family val="2"/>
        <scheme val="minor"/>
      </rPr>
      <t xml:space="preserve">bucket </t>
    </r>
    <r>
      <rPr>
        <b/>
        <sz val="11"/>
        <color rgb="FFFF0000"/>
        <rFont val="Calibri"/>
        <family val="2"/>
        <scheme val="minor"/>
      </rPr>
      <t>number 4</t>
    </r>
  </si>
  <si>
    <r>
      <t xml:space="preserve">This bucket </t>
    </r>
    <r>
      <rPr>
        <b/>
        <sz val="11"/>
        <color rgb="FFFF0000"/>
        <rFont val="Calibri"/>
        <family val="2"/>
        <scheme val="minor"/>
      </rPr>
      <t>won’t get refilled</t>
    </r>
    <r>
      <rPr>
        <sz val="11"/>
        <color theme="1"/>
        <rFont val="Calibri"/>
        <family val="2"/>
        <scheme val="minor"/>
      </rPr>
      <t xml:space="preserve"> as it </t>
    </r>
    <r>
      <rPr>
        <b/>
        <sz val="11"/>
        <color theme="1"/>
        <rFont val="Calibri"/>
        <family val="2"/>
        <scheme val="minor"/>
      </rPr>
      <t>supplies to bucket 1,2,3,4</t>
    </r>
    <r>
      <rPr>
        <sz val="11"/>
        <color theme="1"/>
        <rFont val="Calibri"/>
        <family val="2"/>
        <scheme val="minor"/>
      </rPr>
      <t xml:space="preserve"> when they becomne empty</t>
    </r>
  </si>
  <si>
    <t xml:space="preserve">Notes: </t>
  </si>
  <si>
    <t>1) This strategy has to be followed only after checking the risk profile of the investor</t>
  </si>
  <si>
    <t>2) This strategy should be done by taking professional help</t>
  </si>
  <si>
    <t>Disclaimer:</t>
  </si>
  <si>
    <t>The above chart  is as per the views of Mr.Deepesh Mehta and is not to be taken directly in face value</t>
  </si>
  <si>
    <t>For more clarity - do watch the UpSkill recording of the session conducted on Retirement Bucket Strategy on 13th May 2020</t>
  </si>
  <si>
    <t>Please understand the above chart before proceeding to the Tool.</t>
  </si>
  <si>
    <t>The Tool has been created to match the above concept as much as possible, but does not give the exact answer &amp; should be used as a rough estimate only</t>
  </si>
  <si>
    <t>Credit &amp; Special Thanks to:</t>
  </si>
  <si>
    <t>ProMember Mr.Deepesh Mehta to share across his insights and helping with finalizing the Tool</t>
  </si>
  <si>
    <t>© Network FP Knowledge Solutions Pvt. Ltd. Only Network FP ProMembers are licensed to use this calculator.</t>
  </si>
  <si>
    <t>Enter Values only in the colored cells</t>
  </si>
  <si>
    <t>Personal Details</t>
  </si>
  <si>
    <t>Assumptions Made</t>
  </si>
  <si>
    <t>Current Age</t>
  </si>
  <si>
    <t>Inflation</t>
  </si>
  <si>
    <t>Retirement Age</t>
  </si>
  <si>
    <t>Liquid Fund</t>
  </si>
  <si>
    <t>No of years to Retirement</t>
  </si>
  <si>
    <t>Debt Funds</t>
  </si>
  <si>
    <t>Life Expectency</t>
  </si>
  <si>
    <t>Asset Allocation Funds</t>
  </si>
  <si>
    <t>Retirement Years</t>
  </si>
  <si>
    <t>Equity Funds</t>
  </si>
  <si>
    <t>Future Value of Current Expenses</t>
  </si>
  <si>
    <t>Current Monthly Expenses</t>
  </si>
  <si>
    <t>Monthly Expenses @ Retirement</t>
  </si>
  <si>
    <t>Retirement Corpus Calculation</t>
  </si>
  <si>
    <t>Rate of Return</t>
  </si>
  <si>
    <t>Retirement Corpus Needed</t>
  </si>
  <si>
    <t>Emergency Fund ( Bucket 0 as per below)</t>
  </si>
  <si>
    <t>Total Requirement</t>
  </si>
  <si>
    <t>Requirement as per Bucket Strategy (below calculation)</t>
  </si>
  <si>
    <t>Retirement Bucket Strategy</t>
  </si>
  <si>
    <t>Sample example of allocation of funds as on the retirement date and risk profile</t>
  </si>
  <si>
    <t>Bucket</t>
  </si>
  <si>
    <t>Timeline</t>
  </si>
  <si>
    <t>Products</t>
  </si>
  <si>
    <t>Amount</t>
  </si>
  <si>
    <t>Savings Account</t>
  </si>
  <si>
    <t>Liquid Funds</t>
  </si>
  <si>
    <t>Fixed Deposits</t>
  </si>
  <si>
    <t>SCSS</t>
  </si>
  <si>
    <t>Debt funds</t>
  </si>
  <si>
    <t>DAA Funds</t>
  </si>
  <si>
    <t>Emergency Fund - 24 Month Exp</t>
  </si>
  <si>
    <t>1st - 36 Month</t>
  </si>
  <si>
    <t>37th - 72 Months</t>
  </si>
  <si>
    <t>73rd to 120th</t>
  </si>
  <si>
    <t>121st Month Onwards</t>
  </si>
  <si>
    <t>Total Corpus</t>
  </si>
  <si>
    <t>=</t>
  </si>
  <si>
    <r>
      <rPr>
        <b/>
        <sz val="11"/>
        <color theme="1"/>
        <rFont val="Calibri"/>
        <family val="2"/>
        <scheme val="minor"/>
      </rPr>
      <t>Please Note:</t>
    </r>
    <r>
      <rPr>
        <sz val="11"/>
        <color theme="1"/>
        <rFont val="Calibri"/>
        <family val="2"/>
        <scheme val="minor"/>
      </rPr>
      <t xml:space="preserve"> The above is just an example taken based on the concept and not to be taken in face value</t>
    </r>
  </si>
  <si>
    <t>Monthly Investment required to be done from today</t>
  </si>
  <si>
    <t>Current Investments towards the Goal</t>
  </si>
  <si>
    <t>Monthly Investment to be Started Today (Fixed SIP)</t>
  </si>
  <si>
    <t>Bucket Strategy Back-end Workings</t>
  </si>
  <si>
    <t>Note:</t>
  </si>
  <si>
    <t>This is solely a working sheet to understand where the numbers have come from and understanding the backend if you wish to</t>
  </si>
  <si>
    <t>Members are requested to not edit and numbers in the sheet, or change any componets, formatting as it would change the working of the Tool.</t>
  </si>
  <si>
    <t>Do let us know your feedback of the Tool in the Exchange group or by writing to taskforce@networkfp.com for more tools &amp; improvements.</t>
  </si>
  <si>
    <t>Original Returns</t>
  </si>
  <si>
    <t>Real Rate</t>
  </si>
  <si>
    <t>Nominal Real Rate</t>
  </si>
  <si>
    <t>Nominal Original Returns</t>
  </si>
  <si>
    <t>Monthly Expenses on the day of retirement</t>
  </si>
  <si>
    <t>Nominal Inflation Rate</t>
  </si>
  <si>
    <t>Year 0</t>
  </si>
  <si>
    <t>Year 1</t>
  </si>
  <si>
    <t>Year 2</t>
  </si>
  <si>
    <t>Month</t>
  </si>
  <si>
    <t>6% Returns</t>
  </si>
  <si>
    <t>8% Returns</t>
  </si>
  <si>
    <t>&lt;= Refer Cell K49</t>
  </si>
  <si>
    <t>10% Returns</t>
  </si>
  <si>
    <t>&lt;= Refer Cell Q49</t>
  </si>
  <si>
    <t>12% Returns</t>
  </si>
  <si>
    <t>This is after Inflation &amp; 6% Growth</t>
  </si>
  <si>
    <t>Working to show how the corpus will be used over the period of retirement</t>
  </si>
  <si>
    <t>Corpus at the Beginning</t>
  </si>
  <si>
    <t>Monthly Withdrawal @ 6% pa inflation</t>
  </si>
  <si>
    <t>Corpus after Withdrawal</t>
  </si>
  <si>
    <t>Corpus at the end after 6% pa return</t>
  </si>
  <si>
    <t>If full requirement invested at a single rate of return</t>
  </si>
  <si>
    <t>&lt;= Refer Cell W49</t>
  </si>
  <si>
    <t>&lt;= Refer Cell J89</t>
  </si>
  <si>
    <t xml:space="preserve">Rate </t>
  </si>
  <si>
    <t>&lt;= Refer Cell P125</t>
  </si>
  <si>
    <t>&lt;= Refer Cell V173</t>
  </si>
  <si>
    <t>PV</t>
  </si>
  <si>
    <t xml:space="preserve">Period </t>
  </si>
  <si>
    <t>3 Years</t>
  </si>
  <si>
    <t>6 Years</t>
  </si>
  <si>
    <t>10 Years</t>
  </si>
  <si>
    <t>This is after Inflation &amp; 8% Growth</t>
  </si>
  <si>
    <t>This is after Inflation &amp; 10% Growth</t>
  </si>
  <si>
    <t>This is after Inflation &amp; 12% Growth</t>
  </si>
  <si>
    <t>Corpus at the end after 8% pa return</t>
  </si>
  <si>
    <t>Corpus at the end after 10% pa return</t>
  </si>
  <si>
    <t>Corpus at the end after 12% pa return</t>
  </si>
  <si>
    <t>Bucket Strategy Concept as prepared by Finedge Services</t>
  </si>
  <si>
    <t>Joint SB account/ Debt funds/ Bank fixed deposits</t>
  </si>
  <si>
    <t>Joint SB account, Debt funds/ Dynamic Asset Allocation Fund</t>
  </si>
  <si>
    <t>Senior citizen savings scheme, Debt mutual funds, fixed deposits, Balanced Advantage Funds</t>
  </si>
  <si>
    <t>Dynamic asset allocation funds/ Hybrid Equity Funds</t>
  </si>
  <si>
    <t>Large cap mutual fund , multicap and hybrid mutual funds</t>
  </si>
  <si>
    <r>
      <t xml:space="preserve">This is for all the </t>
    </r>
    <r>
      <rPr>
        <b/>
        <sz val="11"/>
        <color rgb="FFFF0000"/>
        <rFont val="Calibri"/>
        <family val="2"/>
        <scheme val="minor"/>
      </rPr>
      <t>expenses</t>
    </r>
    <r>
      <rPr>
        <sz val="11"/>
        <color theme="1"/>
        <rFont val="Calibri"/>
        <family val="2"/>
        <scheme val="minor"/>
      </rPr>
      <t xml:space="preserve"> that you will need from 73rd month to 96th month which is 36 months</t>
    </r>
  </si>
  <si>
    <r>
      <t xml:space="preserve">This is for all the </t>
    </r>
    <r>
      <rPr>
        <b/>
        <sz val="11"/>
        <color rgb="FFFF0000"/>
        <rFont val="Calibri"/>
        <family val="2"/>
        <scheme val="minor"/>
      </rPr>
      <t>expenses</t>
    </r>
    <r>
      <rPr>
        <sz val="11"/>
        <color theme="1"/>
        <rFont val="Calibri"/>
        <family val="2"/>
        <scheme val="minor"/>
      </rPr>
      <t xml:space="preserve"> that you need from 97th month onwards, that is 9 years from now</t>
    </r>
  </si>
  <si>
    <t>73rd month- 96th month</t>
  </si>
  <si>
    <t>97th month onwards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</si>
</sst>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0.000%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b/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8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Protection="1"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0" fillId="3" borderId="7" xfId="0" applyFill="1" applyBorder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0" fillId="4" borderId="6" xfId="0" applyFill="1" applyBorder="1" applyAlignment="1" applyProtection="1">
      <alignment horizontal="center"/>
      <protection locked="0"/>
    </xf>
    <xf numFmtId="0" fontId="0" fillId="3" borderId="10" xfId="0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8" fontId="0" fillId="0" borderId="0" xfId="0" applyNumberFormat="1" applyAlignment="1" applyProtection="1">
      <alignment horizontal="center"/>
      <protection locked="0"/>
    </xf>
    <xf numFmtId="6" fontId="6" fillId="0" borderId="10" xfId="0" applyNumberFormat="1" applyFont="1" applyBorder="1" applyAlignment="1" applyProtection="1">
      <alignment horizontal="right"/>
      <protection locked="0"/>
    </xf>
    <xf numFmtId="6" fontId="0" fillId="0" borderId="0" xfId="0" applyNumberFormat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9" fontId="0" fillId="0" borderId="4" xfId="1" applyFon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9" fontId="0" fillId="3" borderId="4" xfId="0" applyNumberFormat="1" applyFill="1" applyBorder="1" applyAlignment="1" applyProtection="1">
      <alignment horizontal="center"/>
      <protection locked="0"/>
    </xf>
    <xf numFmtId="9" fontId="0" fillId="0" borderId="0" xfId="0" applyNumberFormat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6" fontId="0" fillId="0" borderId="6" xfId="0" applyNumberFormat="1" applyBorder="1" applyAlignment="1" applyProtection="1">
      <alignment horizontal="right"/>
      <protection locked="0"/>
    </xf>
    <xf numFmtId="6" fontId="0" fillId="0" borderId="4" xfId="0" applyNumberFormat="1" applyBorder="1" applyAlignment="1" applyProtection="1">
      <alignment horizontal="right"/>
      <protection locked="0"/>
    </xf>
    <xf numFmtId="0" fontId="0" fillId="4" borderId="8" xfId="0" applyFill="1" applyBorder="1" applyProtection="1">
      <protection locked="0"/>
    </xf>
    <xf numFmtId="0" fontId="0" fillId="4" borderId="9" xfId="0" applyFill="1" applyBorder="1" applyProtection="1">
      <protection locked="0"/>
    </xf>
    <xf numFmtId="6" fontId="6" fillId="4" borderId="10" xfId="0" applyNumberFormat="1" applyFont="1" applyFill="1" applyBorder="1" applyAlignment="1" applyProtection="1">
      <alignment horizontal="right"/>
      <protection locked="0"/>
    </xf>
    <xf numFmtId="8" fontId="0" fillId="0" borderId="0" xfId="0" applyNumberFormat="1" applyProtection="1">
      <protection locked="0"/>
    </xf>
    <xf numFmtId="0" fontId="10" fillId="2" borderId="11" xfId="0" applyFont="1" applyFill="1" applyBorder="1" applyAlignment="1" applyProtection="1">
      <alignment vertical="center"/>
      <protection locked="0"/>
    </xf>
    <xf numFmtId="0" fontId="10" fillId="2" borderId="12" xfId="0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6" fontId="1" fillId="0" borderId="7" xfId="0" applyNumberFormat="1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6" fontId="1" fillId="0" borderId="6" xfId="0" applyNumberFormat="1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/>
      <protection locked="0"/>
    </xf>
    <xf numFmtId="6" fontId="1" fillId="0" borderId="6" xfId="0" applyNumberFormat="1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6" fontId="1" fillId="0" borderId="10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6" fontId="6" fillId="0" borderId="4" xfId="0" applyNumberFormat="1" applyFont="1" applyBorder="1" applyAlignment="1" applyProtection="1">
      <alignment horizontal="right"/>
      <protection locked="0"/>
    </xf>
    <xf numFmtId="6" fontId="1" fillId="0" borderId="4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/>
      <protection locked="0"/>
    </xf>
    <xf numFmtId="8" fontId="0" fillId="3" borderId="4" xfId="0" applyNumberFormat="1" applyFill="1" applyBorder="1" applyAlignment="1" applyProtection="1">
      <alignment horizontal="center" vertical="center"/>
      <protection locked="0"/>
    </xf>
    <xf numFmtId="8" fontId="0" fillId="0" borderId="0" xfId="0" applyNumberFormat="1" applyAlignment="1" applyProtection="1">
      <alignment horizontal="center" vertical="center"/>
      <protection locked="0"/>
    </xf>
    <xf numFmtId="9" fontId="0" fillId="3" borderId="6" xfId="0" applyNumberFormat="1" applyFill="1" applyBorder="1" applyAlignment="1" applyProtection="1">
      <alignment horizontal="center"/>
      <protection locked="0"/>
    </xf>
    <xf numFmtId="8" fontId="6" fillId="4" borderId="10" xfId="0" applyNumberFormat="1" applyFont="1" applyFill="1" applyBorder="1" applyAlignment="1" applyProtection="1">
      <alignment horizontal="center"/>
      <protection locked="0"/>
    </xf>
    <xf numFmtId="8" fontId="6" fillId="0" borderId="0" xfId="0" applyNumberFormat="1" applyFont="1" applyAlignment="1" applyProtection="1">
      <alignment horizontal="center"/>
      <protection locked="0"/>
    </xf>
    <xf numFmtId="0" fontId="0" fillId="3" borderId="15" xfId="0" applyFill="1" applyBorder="1" applyAlignment="1" applyProtection="1">
      <alignment horizontal="center"/>
      <protection locked="0"/>
    </xf>
    <xf numFmtId="0" fontId="0" fillId="4" borderId="15" xfId="0" applyFill="1" applyBorder="1" applyAlignment="1" applyProtection="1">
      <alignment horizontal="center"/>
      <protection locked="0"/>
    </xf>
    <xf numFmtId="0" fontId="0" fillId="4" borderId="14" xfId="0" applyFill="1" applyBorder="1" applyAlignment="1" applyProtection="1">
      <alignment horizontal="center"/>
      <protection locked="0"/>
    </xf>
    <xf numFmtId="6" fontId="0" fillId="3" borderId="4" xfId="0" applyNumberFormat="1" applyFill="1" applyBorder="1" applyAlignment="1" applyProtection="1">
      <alignment horizontal="right"/>
      <protection locked="0"/>
    </xf>
    <xf numFmtId="164" fontId="5" fillId="0" borderId="0" xfId="1" applyNumberFormat="1" applyFont="1" applyProtection="1">
      <protection locked="0"/>
    </xf>
    <xf numFmtId="0" fontId="14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9" fontId="3" fillId="2" borderId="17" xfId="1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/>
      <protection locked="0"/>
    </xf>
    <xf numFmtId="10" fontId="0" fillId="0" borderId="19" xfId="1" applyNumberFormat="1" applyFont="1" applyBorder="1" applyAlignment="1" applyProtection="1">
      <alignment horizontal="center"/>
      <protection locked="0"/>
    </xf>
    <xf numFmtId="10" fontId="0" fillId="0" borderId="20" xfId="1" applyNumberFormat="1" applyFont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9" fontId="0" fillId="0" borderId="24" xfId="0" applyNumberFormat="1" applyBorder="1" applyProtection="1">
      <protection locked="0"/>
    </xf>
    <xf numFmtId="0" fontId="0" fillId="0" borderId="27" xfId="0" applyBorder="1" applyProtection="1">
      <protection locked="0"/>
    </xf>
    <xf numFmtId="10" fontId="0" fillId="0" borderId="28" xfId="1" applyNumberFormat="1" applyFont="1" applyBorder="1" applyProtection="1"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31" xfId="0" applyBorder="1" applyProtection="1">
      <protection locked="0"/>
    </xf>
    <xf numFmtId="1" fontId="0" fillId="0" borderId="31" xfId="0" applyNumberFormat="1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1" fontId="0" fillId="0" borderId="26" xfId="0" applyNumberFormat="1" applyBorder="1" applyAlignment="1" applyProtection="1">
      <alignment horizontal="center"/>
      <protection locked="0"/>
    </xf>
    <xf numFmtId="1" fontId="0" fillId="0" borderId="18" xfId="0" applyNumberForma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right"/>
      <protection locked="0"/>
    </xf>
    <xf numFmtId="6" fontId="0" fillId="0" borderId="4" xfId="0" applyNumberFormat="1" applyBorder="1" applyProtection="1">
      <protection locked="0"/>
    </xf>
    <xf numFmtId="6" fontId="0" fillId="0" borderId="0" xfId="0" applyNumberFormat="1" applyProtection="1">
      <protection locked="0"/>
    </xf>
    <xf numFmtId="6" fontId="0" fillId="0" borderId="11" xfId="0" applyNumberFormat="1" applyBorder="1" applyProtection="1">
      <protection locked="0"/>
    </xf>
    <xf numFmtId="6" fontId="0" fillId="0" borderId="13" xfId="0" applyNumberFormat="1" applyBorder="1" applyProtection="1">
      <protection locked="0"/>
    </xf>
    <xf numFmtId="6" fontId="0" fillId="0" borderId="8" xfId="0" applyNumberFormat="1" applyBorder="1" applyProtection="1">
      <protection locked="0"/>
    </xf>
    <xf numFmtId="6" fontId="0" fillId="0" borderId="14" xfId="0" applyNumberFormat="1" applyBorder="1" applyProtection="1">
      <protection locked="0"/>
    </xf>
    <xf numFmtId="6" fontId="0" fillId="5" borderId="0" xfId="0" applyNumberFormat="1" applyFill="1" applyProtection="1">
      <protection locked="0"/>
    </xf>
    <xf numFmtId="6" fontId="0" fillId="0" borderId="12" xfId="0" applyNumberFormat="1" applyBorder="1" applyProtection="1">
      <protection locked="0"/>
    </xf>
    <xf numFmtId="6" fontId="0" fillId="0" borderId="9" xfId="0" applyNumberFormat="1" applyBorder="1" applyProtection="1">
      <protection locked="0"/>
    </xf>
    <xf numFmtId="8" fontId="0" fillId="6" borderId="0" xfId="0" applyNumberFormat="1" applyFill="1" applyProtection="1">
      <protection locked="0"/>
    </xf>
    <xf numFmtId="1" fontId="0" fillId="0" borderId="0" xfId="0" applyNumberFormat="1" applyProtection="1">
      <protection locked="0"/>
    </xf>
    <xf numFmtId="9" fontId="5" fillId="0" borderId="0" xfId="0" applyNumberFormat="1" applyFont="1" applyProtection="1">
      <protection locked="0"/>
    </xf>
    <xf numFmtId="10" fontId="0" fillId="0" borderId="0" xfId="1" applyNumberFormat="1" applyFont="1" applyProtection="1">
      <protection locked="0"/>
    </xf>
    <xf numFmtId="10" fontId="5" fillId="0" borderId="0" xfId="1" applyNumberFormat="1" applyFont="1" applyProtection="1">
      <protection locked="0"/>
    </xf>
    <xf numFmtId="2" fontId="0" fillId="0" borderId="0" xfId="0" applyNumberFormat="1" applyProtection="1">
      <protection locked="0"/>
    </xf>
    <xf numFmtId="6" fontId="0" fillId="7" borderId="0" xfId="0" applyNumberFormat="1" applyFill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0" fillId="5" borderId="0" xfId="0" applyFill="1" applyProtection="1">
      <protection locked="0"/>
    </xf>
    <xf numFmtId="6" fontId="5" fillId="8" borderId="0" xfId="0" applyNumberFormat="1" applyFont="1" applyFill="1" applyProtection="1">
      <protection locked="0"/>
    </xf>
    <xf numFmtId="6" fontId="0" fillId="0" borderId="0" xfId="0" applyNumberForma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6" fontId="0" fillId="0" borderId="22" xfId="0" applyNumberFormat="1" applyBorder="1" applyAlignment="1" applyProtection="1">
      <alignment horizontal="center" vertical="center"/>
      <protection locked="0"/>
    </xf>
    <xf numFmtId="6" fontId="0" fillId="0" borderId="26" xfId="0" applyNumberForma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11" fillId="2" borderId="1" xfId="0" applyFont="1" applyFill="1" applyBorder="1" applyAlignment="1" applyProtection="1">
      <alignment horizontal="left"/>
      <protection locked="0"/>
    </xf>
    <xf numFmtId="0" fontId="11" fillId="2" borderId="2" xfId="0" applyFont="1" applyFill="1" applyBorder="1" applyAlignment="1" applyProtection="1">
      <alignment horizontal="left"/>
      <protection locked="0"/>
    </xf>
    <xf numFmtId="0" fontId="11" fillId="2" borderId="3" xfId="0" applyFont="1" applyFill="1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10" fillId="2" borderId="11" xfId="0" applyFont="1" applyFill="1" applyBorder="1" applyAlignment="1" applyProtection="1">
      <alignment horizontal="left" vertical="center"/>
      <protection locked="0"/>
    </xf>
    <xf numFmtId="0" fontId="10" fillId="2" borderId="12" xfId="0" applyFont="1" applyFill="1" applyBorder="1" applyAlignment="1" applyProtection="1">
      <alignment horizontal="left" vertical="center"/>
      <protection locked="0"/>
    </xf>
    <xf numFmtId="0" fontId="10" fillId="2" borderId="13" xfId="0" applyFont="1" applyFill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14" xfId="0" applyBorder="1" applyAlignment="1" applyProtection="1">
      <alignment horizontal="left"/>
      <protection locked="0"/>
    </xf>
    <xf numFmtId="0" fontId="10" fillId="2" borderId="11" xfId="0" applyFont="1" applyFill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 applyProtection="1">
      <alignment horizontal="center" vertical="center"/>
      <protection locked="0"/>
    </xf>
    <xf numFmtId="0" fontId="10" fillId="2" borderId="13" xfId="0" applyFont="1" applyFill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horizontal="left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left"/>
      <protection locked="0"/>
    </xf>
    <xf numFmtId="0" fontId="0" fillId="0" borderId="16" xfId="0" applyBorder="1" applyProtection="1"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\Downloads\Retirement%20Bucket%20Strateg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s"/>
      <sheetName val="Bucket Strategy Tool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E393-83DA-344C-9929-B0C22B779336}">
  <dimension ref="B4:G25"/>
  <sheetViews>
    <sheetView showGridLines="0" zoomScale="90" zoomScaleNormal="90" workbookViewId="0">
      <selection activeCell="G37" sqref="G37"/>
    </sheetView>
  </sheetViews>
  <sheetFormatPr defaultColWidth="9.08984375" defaultRowHeight="14.5" x14ac:dyDescent="0.35"/>
  <cols>
    <col min="1" max="1" width="9.08984375" style="1"/>
    <col min="2" max="2" width="20.6328125" style="9" customWidth="1"/>
    <col min="3" max="4" width="20.6328125" style="1" customWidth="1"/>
    <col min="5" max="5" width="23.453125" style="1" customWidth="1"/>
    <col min="6" max="7" width="20.6328125" style="1" customWidth="1"/>
    <col min="8" max="16384" width="9.08984375" style="1"/>
  </cols>
  <sheetData>
    <row r="4" spans="2:7" ht="18.5" x14ac:dyDescent="0.35">
      <c r="B4" s="122" t="s">
        <v>130</v>
      </c>
      <c r="C4" s="123"/>
      <c r="D4" s="123"/>
      <c r="E4" s="123"/>
      <c r="F4" s="123"/>
      <c r="G4" s="124"/>
    </row>
    <row r="6" spans="2:7" ht="32.25" customHeight="1" x14ac:dyDescent="0.35">
      <c r="B6" s="5"/>
      <c r="C6" s="10" t="s">
        <v>1</v>
      </c>
      <c r="D6" s="10" t="s">
        <v>2</v>
      </c>
      <c r="E6" s="10" t="s">
        <v>3</v>
      </c>
      <c r="F6" s="10" t="s">
        <v>4</v>
      </c>
      <c r="G6" s="10" t="s">
        <v>5</v>
      </c>
    </row>
    <row r="7" spans="2:7" ht="107.25" customHeight="1" x14ac:dyDescent="0.35">
      <c r="B7" s="4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2:7" ht="56.25" customHeight="1" x14ac:dyDescent="0.35">
      <c r="B8" s="4" t="s">
        <v>12</v>
      </c>
      <c r="C8" s="5" t="s">
        <v>13</v>
      </c>
      <c r="D8" s="6" t="s">
        <v>14</v>
      </c>
      <c r="E8" s="6" t="s">
        <v>15</v>
      </c>
      <c r="F8" s="6" t="s">
        <v>16</v>
      </c>
      <c r="G8" s="6" t="s">
        <v>17</v>
      </c>
    </row>
    <row r="9" spans="2:7" ht="65.25" customHeight="1" x14ac:dyDescent="0.35">
      <c r="B9" s="4" t="s">
        <v>18</v>
      </c>
      <c r="C9" s="6" t="s">
        <v>131</v>
      </c>
      <c r="D9" s="6" t="s">
        <v>132</v>
      </c>
      <c r="E9" s="6" t="s">
        <v>133</v>
      </c>
      <c r="F9" s="6" t="s">
        <v>134</v>
      </c>
      <c r="G9" s="6" t="s">
        <v>135</v>
      </c>
    </row>
    <row r="10" spans="2:7" ht="70.5" customHeight="1" x14ac:dyDescent="0.35">
      <c r="B10" s="4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5" t="s">
        <v>29</v>
      </c>
    </row>
    <row r="12" spans="2:7" customFormat="1" x14ac:dyDescent="0.35">
      <c r="B12" s="7" t="s">
        <v>30</v>
      </c>
    </row>
    <row r="13" spans="2:7" customFormat="1" x14ac:dyDescent="0.35">
      <c r="B13" s="7" t="s">
        <v>31</v>
      </c>
    </row>
    <row r="14" spans="2:7" customFormat="1" x14ac:dyDescent="0.35">
      <c r="B14" s="7" t="s">
        <v>32</v>
      </c>
    </row>
    <row r="15" spans="2:7" customFormat="1" x14ac:dyDescent="0.35">
      <c r="B15" s="8"/>
    </row>
    <row r="16" spans="2:7" customFormat="1" x14ac:dyDescent="0.35">
      <c r="B16" s="7" t="s">
        <v>33</v>
      </c>
    </row>
    <row r="17" spans="2:7" customFormat="1" x14ac:dyDescent="0.35">
      <c r="B17" s="8" t="s">
        <v>34</v>
      </c>
    </row>
    <row r="18" spans="2:7" customFormat="1" x14ac:dyDescent="0.35">
      <c r="B18" s="8" t="s">
        <v>35</v>
      </c>
    </row>
    <row r="19" spans="2:7" customFormat="1" x14ac:dyDescent="0.35">
      <c r="B19" s="8" t="s">
        <v>36</v>
      </c>
    </row>
    <row r="20" spans="2:7" customFormat="1" x14ac:dyDescent="0.35">
      <c r="B20" s="8" t="s">
        <v>37</v>
      </c>
    </row>
    <row r="21" spans="2:7" customFormat="1" x14ac:dyDescent="0.35">
      <c r="B21" s="8"/>
    </row>
    <row r="22" spans="2:7" customFormat="1" x14ac:dyDescent="0.35">
      <c r="B22" s="7" t="s">
        <v>38</v>
      </c>
    </row>
    <row r="23" spans="2:7" customFormat="1" x14ac:dyDescent="0.35">
      <c r="B23" s="8" t="s">
        <v>39</v>
      </c>
    </row>
    <row r="24" spans="2:7" customFormat="1" x14ac:dyDescent="0.35">
      <c r="B24" s="8"/>
    </row>
    <row r="25" spans="2:7" customFormat="1" x14ac:dyDescent="0.35">
      <c r="B25" s="125" t="s">
        <v>40</v>
      </c>
      <c r="C25" s="125"/>
      <c r="D25" s="125"/>
      <c r="E25" s="125"/>
      <c r="F25" s="125"/>
      <c r="G25" s="125"/>
    </row>
  </sheetData>
  <sheetProtection password="FFB7" sheet="1" formatCells="0" formatColumns="0" formatRows="0" insertColumns="0" insertRows="0" insertHyperlinks="0" deleteColumns="0" deleteRows="0" selectLockedCells="1" sort="0" autoFilter="0" pivotTables="0"/>
  <mergeCells count="2">
    <mergeCell ref="B4:G4"/>
    <mergeCell ref="B25:G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60C2-6059-0849-A172-59B108BFE2E7}">
  <dimension ref="C3:H9"/>
  <sheetViews>
    <sheetView workbookViewId="0">
      <selection activeCell="E22" sqref="E22"/>
    </sheetView>
  </sheetViews>
  <sheetFormatPr defaultColWidth="11.54296875" defaultRowHeight="14.5" x14ac:dyDescent="0.35"/>
  <cols>
    <col min="3" max="3" width="20.6328125" customWidth="1"/>
    <col min="4" max="4" width="25.81640625" customWidth="1"/>
    <col min="5" max="5" width="21" customWidth="1"/>
    <col min="6" max="6" width="21.36328125" customWidth="1"/>
    <col min="7" max="7" width="21.453125" customWidth="1"/>
    <col min="8" max="8" width="23.6328125" customWidth="1"/>
  </cols>
  <sheetData>
    <row r="3" spans="3:8" ht="18.5" x14ac:dyDescent="0.35">
      <c r="C3" s="122" t="s">
        <v>0</v>
      </c>
      <c r="D3" s="123"/>
      <c r="E3" s="123"/>
      <c r="F3" s="123"/>
      <c r="G3" s="123"/>
      <c r="H3" s="124"/>
    </row>
    <row r="4" spans="3:8" x14ac:dyDescent="0.35">
      <c r="C4" s="9"/>
      <c r="D4" s="1"/>
      <c r="E4" s="1"/>
      <c r="F4" s="1"/>
      <c r="G4" s="1"/>
      <c r="H4" s="1"/>
    </row>
    <row r="5" spans="3:8" x14ac:dyDescent="0.35">
      <c r="C5" s="5"/>
      <c r="D5" s="10" t="s">
        <v>1</v>
      </c>
      <c r="E5" s="10" t="s">
        <v>2</v>
      </c>
      <c r="F5" s="10" t="s">
        <v>3</v>
      </c>
      <c r="G5" s="10" t="s">
        <v>4</v>
      </c>
      <c r="H5" s="10" t="s">
        <v>5</v>
      </c>
    </row>
    <row r="6" spans="3:8" ht="99" customHeight="1" x14ac:dyDescent="0.35">
      <c r="C6" s="4" t="s">
        <v>6</v>
      </c>
      <c r="D6" s="3" t="s">
        <v>7</v>
      </c>
      <c r="E6" s="3" t="s">
        <v>8</v>
      </c>
      <c r="F6" s="3" t="s">
        <v>9</v>
      </c>
      <c r="G6" s="3" t="s">
        <v>136</v>
      </c>
      <c r="H6" s="3" t="s">
        <v>137</v>
      </c>
    </row>
    <row r="7" spans="3:8" ht="45" customHeight="1" x14ac:dyDescent="0.35">
      <c r="C7" s="4" t="s">
        <v>12</v>
      </c>
      <c r="D7" s="5" t="s">
        <v>13</v>
      </c>
      <c r="E7" s="6" t="s">
        <v>14</v>
      </c>
      <c r="F7" s="6" t="s">
        <v>15</v>
      </c>
      <c r="G7" s="6" t="s">
        <v>138</v>
      </c>
      <c r="H7" s="6" t="s">
        <v>139</v>
      </c>
    </row>
    <row r="8" spans="3:8" ht="43.5" x14ac:dyDescent="0.35">
      <c r="C8" s="4" t="s">
        <v>18</v>
      </c>
      <c r="D8" s="6" t="s">
        <v>19</v>
      </c>
      <c r="E8" s="6" t="s">
        <v>20</v>
      </c>
      <c r="F8" s="6" t="s">
        <v>21</v>
      </c>
      <c r="G8" s="6" t="s">
        <v>22</v>
      </c>
      <c r="H8" s="6" t="s">
        <v>23</v>
      </c>
    </row>
    <row r="9" spans="3:8" ht="58" x14ac:dyDescent="0.35">
      <c r="C9" s="4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29</v>
      </c>
    </row>
  </sheetData>
  <mergeCells count="1">
    <mergeCell ref="C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511F-43CC-C242-A9C2-23E071645439}">
  <dimension ref="B1:O37"/>
  <sheetViews>
    <sheetView workbookViewId="0">
      <selection activeCell="E18" sqref="E18"/>
    </sheetView>
  </sheetViews>
  <sheetFormatPr defaultColWidth="11.54296875" defaultRowHeight="14.5" x14ac:dyDescent="0.35"/>
  <cols>
    <col min="2" max="2" width="20.36328125" customWidth="1"/>
    <col min="3" max="3" width="31.6328125" customWidth="1"/>
    <col min="4" max="4" width="14.6328125" customWidth="1"/>
    <col min="5" max="5" width="19.81640625" customWidth="1"/>
    <col min="7" max="7" width="19.08984375" customWidth="1"/>
    <col min="8" max="8" width="14.6328125" customWidth="1"/>
    <col min="9" max="9" width="18.36328125" customWidth="1"/>
    <col min="10" max="10" width="12.81640625" customWidth="1"/>
    <col min="11" max="11" width="14.36328125" customWidth="1"/>
    <col min="12" max="12" width="16.36328125" customWidth="1"/>
    <col min="13" max="13" width="16.08984375" customWidth="1"/>
  </cols>
  <sheetData>
    <row r="1" spans="2:15" x14ac:dyDescent="0.35">
      <c r="B1" s="11"/>
      <c r="C1" s="11"/>
      <c r="D1" s="11"/>
      <c r="E1" s="11"/>
      <c r="F1" s="11"/>
      <c r="G1" s="11"/>
      <c r="H1" s="1"/>
      <c r="I1" s="1"/>
      <c r="J1" s="1"/>
      <c r="K1" s="1"/>
      <c r="L1" s="1"/>
      <c r="M1" s="1"/>
    </row>
    <row r="2" spans="2:15" x14ac:dyDescent="0.35">
      <c r="B2" s="12" t="s">
        <v>41</v>
      </c>
      <c r="C2" s="13"/>
      <c r="D2" s="14"/>
      <c r="E2" s="15"/>
      <c r="F2" s="11"/>
      <c r="G2" s="11"/>
      <c r="H2" s="1"/>
      <c r="I2" s="1"/>
      <c r="J2" s="1"/>
      <c r="K2" s="1"/>
      <c r="L2" s="1"/>
      <c r="M2" s="1"/>
    </row>
    <row r="3" spans="2:15" x14ac:dyDescent="0.35">
      <c r="B3" s="11"/>
      <c r="C3" s="11"/>
      <c r="D3" s="11"/>
      <c r="E3" s="11"/>
      <c r="F3" s="11"/>
      <c r="G3" s="11"/>
      <c r="H3" s="1"/>
      <c r="I3" s="1"/>
      <c r="J3" s="16"/>
      <c r="K3" s="16"/>
      <c r="L3" s="16"/>
      <c r="M3" s="16"/>
    </row>
    <row r="4" spans="2:15" ht="21" x14ac:dyDescent="0.35">
      <c r="B4" s="134" t="s">
        <v>42</v>
      </c>
      <c r="C4" s="135"/>
      <c r="D4" s="135"/>
      <c r="E4" s="143"/>
      <c r="F4" s="17"/>
      <c r="G4" s="144" t="s">
        <v>43</v>
      </c>
      <c r="H4" s="145"/>
      <c r="I4" s="18"/>
      <c r="J4" s="1"/>
      <c r="K4" s="1"/>
      <c r="L4" s="1"/>
      <c r="M4" s="1"/>
      <c r="O4" s="72">
        <f>((1+E16)/(1+C16))-1</f>
        <v>7.0000000000000062E-2</v>
      </c>
    </row>
    <row r="5" spans="2:15" x14ac:dyDescent="0.35">
      <c r="B5" s="146" t="s">
        <v>44</v>
      </c>
      <c r="C5" s="146"/>
      <c r="D5" s="146"/>
      <c r="E5" s="68">
        <v>60</v>
      </c>
      <c r="F5" s="11"/>
      <c r="G5" s="20" t="s">
        <v>45</v>
      </c>
      <c r="H5" s="21">
        <v>5</v>
      </c>
      <c r="I5" s="1"/>
      <c r="J5" s="22">
        <f>H5%</f>
        <v>0.05</v>
      </c>
      <c r="K5" s="1"/>
      <c r="L5" s="1"/>
      <c r="M5" s="1"/>
    </row>
    <row r="6" spans="2:15" x14ac:dyDescent="0.35">
      <c r="B6" s="146" t="s">
        <v>46</v>
      </c>
      <c r="C6" s="146"/>
      <c r="D6" s="146"/>
      <c r="E6" s="68">
        <v>60</v>
      </c>
      <c r="F6" s="11"/>
      <c r="G6" s="2" t="s">
        <v>47</v>
      </c>
      <c r="H6" s="23">
        <v>4</v>
      </c>
      <c r="I6" s="1"/>
      <c r="J6" s="22">
        <f>H6%</f>
        <v>0.04</v>
      </c>
      <c r="K6" s="1"/>
      <c r="L6" s="1"/>
      <c r="M6" s="1"/>
    </row>
    <row r="7" spans="2:15" x14ac:dyDescent="0.35">
      <c r="B7" s="147" t="s">
        <v>48</v>
      </c>
      <c r="C7" s="147"/>
      <c r="D7" s="147"/>
      <c r="E7" s="69">
        <f>E6-E5</f>
        <v>0</v>
      </c>
      <c r="F7" s="11"/>
      <c r="G7" s="20" t="s">
        <v>49</v>
      </c>
      <c r="H7" s="19">
        <v>6</v>
      </c>
      <c r="I7" s="1"/>
      <c r="J7" s="22">
        <f>H7%</f>
        <v>0.06</v>
      </c>
      <c r="K7" s="1"/>
      <c r="L7" s="1"/>
      <c r="M7" s="1"/>
    </row>
    <row r="8" spans="2:15" x14ac:dyDescent="0.35">
      <c r="B8" s="146" t="s">
        <v>50</v>
      </c>
      <c r="C8" s="146"/>
      <c r="D8" s="146"/>
      <c r="E8" s="68">
        <v>80</v>
      </c>
      <c r="F8" s="11"/>
      <c r="G8" s="20" t="s">
        <v>51</v>
      </c>
      <c r="H8" s="19">
        <v>9</v>
      </c>
      <c r="I8" s="1"/>
      <c r="J8" s="22">
        <f>H8%</f>
        <v>0.09</v>
      </c>
      <c r="K8" s="1"/>
      <c r="L8" s="1"/>
      <c r="M8" s="1"/>
    </row>
    <row r="9" spans="2:15" x14ac:dyDescent="0.35">
      <c r="B9" s="133" t="s">
        <v>52</v>
      </c>
      <c r="C9" s="133"/>
      <c r="D9" s="133"/>
      <c r="E9" s="70">
        <f>E8-E6</f>
        <v>20</v>
      </c>
      <c r="F9" s="11"/>
      <c r="G9" s="20" t="s">
        <v>53</v>
      </c>
      <c r="H9" s="24">
        <v>12</v>
      </c>
      <c r="I9" s="1"/>
      <c r="J9" s="22">
        <f>H9%</f>
        <v>0.12</v>
      </c>
      <c r="K9" s="1"/>
      <c r="L9" s="25">
        <f>E9*12</f>
        <v>240</v>
      </c>
      <c r="M9" s="1"/>
    </row>
    <row r="10" spans="2:15" x14ac:dyDescent="0.35">
      <c r="B10" s="11"/>
      <c r="C10" s="11"/>
      <c r="D10" s="11"/>
      <c r="E10" s="11"/>
      <c r="F10" s="11"/>
      <c r="G10" s="1"/>
      <c r="H10" s="1"/>
      <c r="I10" s="1"/>
      <c r="J10" s="16"/>
      <c r="K10" s="16"/>
      <c r="L10" s="16"/>
      <c r="M10" s="16"/>
    </row>
    <row r="11" spans="2:15" ht="21" x14ac:dyDescent="0.35">
      <c r="B11" s="134" t="s">
        <v>54</v>
      </c>
      <c r="C11" s="135"/>
      <c r="D11" s="135"/>
      <c r="E11" s="136"/>
      <c r="F11" s="17"/>
      <c r="G11" s="1"/>
      <c r="H11" s="1"/>
      <c r="I11" s="1"/>
      <c r="J11" s="1"/>
      <c r="K11" s="1"/>
      <c r="L11" s="1"/>
      <c r="M11" s="1"/>
    </row>
    <row r="12" spans="2:15" x14ac:dyDescent="0.35">
      <c r="B12" s="132" t="s">
        <v>55</v>
      </c>
      <c r="C12" s="137"/>
      <c r="D12" s="138"/>
      <c r="E12" s="71">
        <v>150000</v>
      </c>
      <c r="F12" s="26"/>
      <c r="G12" s="1"/>
      <c r="H12" s="1"/>
      <c r="I12" s="1"/>
      <c r="J12" s="1"/>
      <c r="K12" s="1"/>
      <c r="L12" s="1"/>
      <c r="M12" s="1"/>
    </row>
    <row r="13" spans="2:15" x14ac:dyDescent="0.35">
      <c r="B13" s="129" t="s">
        <v>56</v>
      </c>
      <c r="C13" s="130"/>
      <c r="D13" s="139"/>
      <c r="E13" s="27">
        <f>FV(J5,E7,,-E12,)</f>
        <v>150000</v>
      </c>
      <c r="F13" s="28"/>
      <c r="G13" s="11"/>
      <c r="H13" s="11"/>
      <c r="I13" s="11"/>
      <c r="J13" s="1"/>
      <c r="K13" s="1"/>
      <c r="L13" s="1"/>
      <c r="M13" s="1"/>
    </row>
    <row r="14" spans="2:15" x14ac:dyDescent="0.35">
      <c r="B14" s="1"/>
      <c r="C14" s="1"/>
      <c r="D14" s="1"/>
      <c r="E14" s="11"/>
      <c r="F14" s="11"/>
      <c r="G14" s="1"/>
      <c r="H14" s="1"/>
      <c r="I14" s="1"/>
      <c r="J14" s="1"/>
      <c r="K14" s="1"/>
      <c r="L14" s="1"/>
      <c r="M14" s="1"/>
    </row>
    <row r="15" spans="2:15" ht="21" x14ac:dyDescent="0.35">
      <c r="B15" s="134" t="s">
        <v>57</v>
      </c>
      <c r="C15" s="135"/>
      <c r="D15" s="135"/>
      <c r="E15" s="136"/>
      <c r="F15" s="17"/>
      <c r="G15" s="1"/>
      <c r="H15" s="1"/>
      <c r="I15" s="1"/>
      <c r="J15" s="1"/>
      <c r="K15" s="1"/>
      <c r="L15" s="1"/>
      <c r="M15" s="1"/>
    </row>
    <row r="16" spans="2:15" x14ac:dyDescent="0.35">
      <c r="B16" s="29" t="s">
        <v>45</v>
      </c>
      <c r="C16" s="30">
        <v>0</v>
      </c>
      <c r="D16" s="31" t="s">
        <v>58</v>
      </c>
      <c r="E16" s="32">
        <v>7.0000000000000007E-2</v>
      </c>
      <c r="F16" s="33"/>
      <c r="G16" s="1"/>
      <c r="H16" s="1"/>
      <c r="I16" s="1"/>
      <c r="J16" s="1"/>
      <c r="K16" s="1"/>
      <c r="L16" s="1"/>
      <c r="M16" s="1"/>
    </row>
    <row r="17" spans="2:13" x14ac:dyDescent="0.35">
      <c r="B17" s="34" t="s">
        <v>59</v>
      </c>
      <c r="C17" s="1"/>
      <c r="D17" s="1"/>
      <c r="E17" s="35">
        <f>PV(NOMINAL(O4,12)/12,E9*12,-E13,,1)</f>
        <v>19784793.798068546</v>
      </c>
      <c r="F17" s="28"/>
      <c r="G17" s="1"/>
      <c r="H17" s="1"/>
      <c r="I17" s="1"/>
      <c r="J17" s="1"/>
      <c r="K17" s="1"/>
      <c r="L17" s="1"/>
      <c r="M17" s="1"/>
    </row>
    <row r="18" spans="2:13" x14ac:dyDescent="0.35">
      <c r="B18" s="34" t="s">
        <v>60</v>
      </c>
      <c r="C18" s="1"/>
      <c r="D18" s="1"/>
      <c r="E18" s="35">
        <f>[1]Workings!C31+[1]Workings!E31</f>
        <v>3600000.0180000002</v>
      </c>
      <c r="F18" s="28"/>
      <c r="G18" s="1"/>
      <c r="H18" s="1"/>
      <c r="I18" s="1"/>
      <c r="J18" s="1"/>
      <c r="K18" s="1"/>
      <c r="L18" s="1"/>
      <c r="M18" s="1"/>
    </row>
    <row r="19" spans="2:13" x14ac:dyDescent="0.35">
      <c r="B19" s="29" t="s">
        <v>61</v>
      </c>
      <c r="C19" s="31"/>
      <c r="D19" s="31"/>
      <c r="E19" s="36">
        <f>E17+E18</f>
        <v>23384793.816068545</v>
      </c>
      <c r="F19" s="28"/>
      <c r="G19" s="1"/>
      <c r="H19" s="1"/>
      <c r="I19" s="1"/>
      <c r="J19" s="1"/>
      <c r="K19" s="1"/>
      <c r="L19" s="1"/>
      <c r="M19" s="1"/>
    </row>
    <row r="20" spans="2:13" x14ac:dyDescent="0.35">
      <c r="B20" s="37" t="s">
        <v>62</v>
      </c>
      <c r="C20" s="38"/>
      <c r="D20" s="38"/>
      <c r="E20" s="39">
        <f>E25+E26+E27+E28+E29</f>
        <v>23123802.677824479</v>
      </c>
      <c r="F20" s="28"/>
      <c r="G20" s="40"/>
      <c r="H20" s="1"/>
      <c r="I20" s="1"/>
      <c r="J20" s="1"/>
      <c r="K20" s="1"/>
      <c r="L20" s="1"/>
      <c r="M20" s="1"/>
    </row>
    <row r="21" spans="2:13" x14ac:dyDescent="0.35">
      <c r="B21" s="1"/>
      <c r="C21" s="1"/>
      <c r="D21" s="1"/>
      <c r="E21" s="11"/>
      <c r="F21" s="11"/>
      <c r="G21" s="1"/>
      <c r="H21" s="1"/>
      <c r="I21" s="1"/>
      <c r="J21" s="1"/>
      <c r="K21" s="1"/>
      <c r="L21" s="1"/>
      <c r="M21" s="1"/>
    </row>
    <row r="22" spans="2:13" x14ac:dyDescent="0.35">
      <c r="B22" s="11"/>
      <c r="C22" s="11"/>
      <c r="D22" s="11"/>
      <c r="E22" s="11"/>
      <c r="F22" s="11"/>
      <c r="G22" s="1"/>
      <c r="H22" s="1"/>
      <c r="I22" s="1"/>
      <c r="J22" s="1"/>
      <c r="K22" s="1"/>
      <c r="L22" s="1"/>
      <c r="M22" s="1"/>
    </row>
    <row r="23" spans="2:13" ht="21" x14ac:dyDescent="0.35">
      <c r="B23" s="41" t="s">
        <v>63</v>
      </c>
      <c r="C23" s="42"/>
      <c r="D23" s="42"/>
      <c r="E23" s="43"/>
      <c r="F23" s="28"/>
      <c r="G23" s="140" t="s">
        <v>64</v>
      </c>
      <c r="H23" s="141"/>
      <c r="I23" s="141"/>
      <c r="J23" s="141"/>
      <c r="K23" s="141"/>
      <c r="L23" s="141"/>
      <c r="M23" s="142"/>
    </row>
    <row r="24" spans="2:13" ht="15.5" x14ac:dyDescent="0.35">
      <c r="B24" s="13" t="s">
        <v>65</v>
      </c>
      <c r="C24" s="14" t="s">
        <v>66</v>
      </c>
      <c r="D24" s="14" t="s">
        <v>67</v>
      </c>
      <c r="E24" s="44" t="s">
        <v>68</v>
      </c>
      <c r="F24" s="28"/>
      <c r="G24" s="45" t="s">
        <v>69</v>
      </c>
      <c r="H24" s="46" t="s">
        <v>70</v>
      </c>
      <c r="I24" s="45" t="s">
        <v>71</v>
      </c>
      <c r="J24" s="45" t="s">
        <v>72</v>
      </c>
      <c r="K24" s="47" t="s">
        <v>73</v>
      </c>
      <c r="L24" s="45" t="s">
        <v>74</v>
      </c>
      <c r="M24" s="45" t="s">
        <v>53</v>
      </c>
    </row>
    <row r="25" spans="2:13" ht="15.5" x14ac:dyDescent="0.35">
      <c r="B25" s="48" t="s">
        <v>1</v>
      </c>
      <c r="C25" s="49" t="s">
        <v>75</v>
      </c>
      <c r="D25" s="9" t="s">
        <v>47</v>
      </c>
      <c r="E25" s="35">
        <f>[1]Workings!C31+[1]Workings!E31</f>
        <v>3600000.0180000002</v>
      </c>
      <c r="F25" s="28"/>
      <c r="G25" s="50"/>
      <c r="H25" s="51">
        <f>E25</f>
        <v>3600000.0180000002</v>
      </c>
      <c r="I25" s="50"/>
      <c r="J25" s="50"/>
      <c r="K25" s="52"/>
      <c r="L25" s="52"/>
      <c r="M25" s="52"/>
    </row>
    <row r="26" spans="2:13" ht="15.5" x14ac:dyDescent="0.35">
      <c r="B26" s="48" t="s">
        <v>2</v>
      </c>
      <c r="C26" s="49" t="s">
        <v>76</v>
      </c>
      <c r="D26" s="9" t="s">
        <v>47</v>
      </c>
      <c r="E26" s="35">
        <f>[1]Workings!C39</f>
        <v>5083647.9319094941</v>
      </c>
      <c r="F26" s="28"/>
      <c r="G26" s="53">
        <f>E26*1/3</f>
        <v>1694549.310636498</v>
      </c>
      <c r="H26" s="53">
        <f>E26*1/3</f>
        <v>1694549.310636498</v>
      </c>
      <c r="I26" s="53">
        <f>E26*1/3</f>
        <v>1694549.310636498</v>
      </c>
      <c r="J26" s="54"/>
      <c r="K26" s="54"/>
      <c r="L26" s="54"/>
      <c r="M26" s="50"/>
    </row>
    <row r="27" spans="2:13" ht="15.5" x14ac:dyDescent="0.35">
      <c r="B27" s="48" t="s">
        <v>3</v>
      </c>
      <c r="C27" s="49" t="s">
        <v>77</v>
      </c>
      <c r="D27" s="55" t="s">
        <v>49</v>
      </c>
      <c r="E27" s="35">
        <f>[1]Workings!D43</f>
        <v>4180218.8676381558</v>
      </c>
      <c r="F27" s="28"/>
      <c r="G27" s="54"/>
      <c r="H27" s="54"/>
      <c r="I27" s="54"/>
      <c r="J27" s="56">
        <f>E27*3/5</f>
        <v>2508131.3205828937</v>
      </c>
      <c r="K27" s="56">
        <f>E27*2/5</f>
        <v>1672087.5470552624</v>
      </c>
      <c r="L27" s="54"/>
      <c r="M27" s="54"/>
    </row>
    <row r="28" spans="2:13" ht="15.5" x14ac:dyDescent="0.35">
      <c r="B28" s="48" t="s">
        <v>4</v>
      </c>
      <c r="C28" s="49" t="s">
        <v>78</v>
      </c>
      <c r="D28" s="55" t="s">
        <v>51</v>
      </c>
      <c r="E28" s="35">
        <f>IF(E29=0,PV('[1]Bucket Strategy Tool'!C3/12,E9*12-72,-[1]Workings!C14,,),[1]Workings!E46)</f>
        <v>3940498.7669843584</v>
      </c>
      <c r="F28" s="28"/>
      <c r="G28" s="50"/>
      <c r="H28" s="50"/>
      <c r="I28" s="50"/>
      <c r="J28" s="50"/>
      <c r="K28" s="50"/>
      <c r="L28" s="53">
        <f>E28</f>
        <v>3940498.7669843584</v>
      </c>
      <c r="M28" s="50"/>
    </row>
    <row r="29" spans="2:13" ht="15.5" x14ac:dyDescent="0.35">
      <c r="B29" s="48" t="s">
        <v>5</v>
      </c>
      <c r="C29" s="49" t="s">
        <v>79</v>
      </c>
      <c r="D29" s="55" t="s">
        <v>53</v>
      </c>
      <c r="E29" s="35">
        <f>IF([1]Workings!F49&lt;0,0,[1]Workings!F49)</f>
        <v>6319437.093292471</v>
      </c>
      <c r="F29" s="28"/>
      <c r="G29" s="57"/>
      <c r="H29" s="57"/>
      <c r="I29" s="57"/>
      <c r="J29" s="57"/>
      <c r="K29" s="57"/>
      <c r="L29" s="57"/>
      <c r="M29" s="58">
        <f>E29</f>
        <v>6319437.093292471</v>
      </c>
    </row>
    <row r="30" spans="2:13" ht="15.5" x14ac:dyDescent="0.35">
      <c r="B30" s="59" t="s">
        <v>80</v>
      </c>
      <c r="C30" s="14"/>
      <c r="D30" s="14"/>
      <c r="E30" s="60">
        <f>SUM(E25:E29)</f>
        <v>23123802.677824479</v>
      </c>
      <c r="F30" s="28" t="s">
        <v>81</v>
      </c>
      <c r="G30" s="61">
        <f t="shared" ref="G30:M30" si="0">SUM(G25:G29)</f>
        <v>1694549.310636498</v>
      </c>
      <c r="H30" s="61">
        <f t="shared" si="0"/>
        <v>5294549.3286364982</v>
      </c>
      <c r="I30" s="61">
        <f t="shared" si="0"/>
        <v>1694549.310636498</v>
      </c>
      <c r="J30" s="61">
        <f t="shared" si="0"/>
        <v>2508131.3205828937</v>
      </c>
      <c r="K30" s="61">
        <f t="shared" si="0"/>
        <v>1672087.5470552624</v>
      </c>
      <c r="L30" s="61">
        <f t="shared" si="0"/>
        <v>3940498.7669843584</v>
      </c>
      <c r="M30" s="61">
        <f t="shared" si="0"/>
        <v>6319437.093292471</v>
      </c>
    </row>
    <row r="31" spans="2:13" x14ac:dyDescent="0.35">
      <c r="B31" s="11"/>
      <c r="C31" s="11"/>
      <c r="D31" s="11"/>
      <c r="E31" s="11"/>
      <c r="F31" s="11"/>
      <c r="G31" s="55" t="s">
        <v>82</v>
      </c>
      <c r="H31" s="1"/>
      <c r="I31" s="1"/>
      <c r="J31" s="1"/>
      <c r="K31" s="1"/>
      <c r="L31" s="1"/>
      <c r="M31" s="1"/>
    </row>
    <row r="32" spans="2:13" x14ac:dyDescent="0.35">
      <c r="B32" s="1"/>
      <c r="C32" s="1"/>
      <c r="D32" s="1"/>
      <c r="E32" s="11"/>
      <c r="F32" s="11"/>
      <c r="G32" s="11"/>
      <c r="H32" s="1"/>
      <c r="I32" s="1"/>
      <c r="J32" s="1"/>
      <c r="K32" s="1"/>
      <c r="L32" s="1"/>
      <c r="M32" s="1"/>
    </row>
    <row r="33" spans="2:13" x14ac:dyDescent="0.35">
      <c r="B33" s="126" t="s">
        <v>83</v>
      </c>
      <c r="C33" s="127"/>
      <c r="D33" s="127"/>
      <c r="E33" s="128"/>
      <c r="F33" s="62"/>
      <c r="G33" s="1"/>
      <c r="H33" s="1"/>
      <c r="I33" s="1"/>
      <c r="J33" s="1"/>
      <c r="K33" s="1"/>
      <c r="L33" s="1"/>
      <c r="M33" s="1"/>
    </row>
    <row r="34" spans="2:13" x14ac:dyDescent="0.35">
      <c r="B34" s="129" t="s">
        <v>84</v>
      </c>
      <c r="C34" s="130"/>
      <c r="D34" s="130"/>
      <c r="E34" s="63">
        <v>0</v>
      </c>
      <c r="F34" s="64"/>
      <c r="G34" s="1"/>
      <c r="H34" s="1"/>
      <c r="I34" s="1"/>
      <c r="J34" s="1"/>
      <c r="K34" s="1"/>
      <c r="L34" s="1"/>
      <c r="M34" s="1"/>
    </row>
    <row r="35" spans="2:13" x14ac:dyDescent="0.35">
      <c r="B35" s="131" t="s">
        <v>58</v>
      </c>
      <c r="C35" s="131"/>
      <c r="D35" s="132"/>
      <c r="E35" s="65">
        <v>0.11</v>
      </c>
      <c r="F35" s="33"/>
      <c r="G35" s="1"/>
      <c r="H35" s="1"/>
      <c r="I35" s="1"/>
      <c r="J35" s="1"/>
      <c r="K35" s="1"/>
      <c r="L35" s="1"/>
      <c r="M35" s="1"/>
    </row>
    <row r="36" spans="2:13" x14ac:dyDescent="0.35">
      <c r="B36" s="131" t="s">
        <v>85</v>
      </c>
      <c r="C36" s="131"/>
      <c r="D36" s="132"/>
      <c r="E36" s="66" t="e">
        <f>PMT(NOMINAL(E35,12)/12,(E6-E5)*12,E34,-E20,)</f>
        <v>#NUM!</v>
      </c>
      <c r="F36" s="67"/>
      <c r="G36" s="1"/>
      <c r="H36" s="1"/>
      <c r="I36" s="1"/>
      <c r="J36" s="1"/>
      <c r="K36" s="1"/>
      <c r="L36" s="1"/>
      <c r="M36" s="1"/>
    </row>
    <row r="37" spans="2:13" x14ac:dyDescent="0.35">
      <c r="B37" s="11"/>
      <c r="C37" s="11"/>
      <c r="D37" s="11"/>
      <c r="E37" s="11"/>
      <c r="F37" s="11"/>
      <c r="G37" s="11"/>
      <c r="H37" s="1"/>
      <c r="I37" s="1"/>
      <c r="J37" s="1"/>
      <c r="K37" s="1"/>
      <c r="L37" s="1"/>
      <c r="M37" s="1"/>
    </row>
  </sheetData>
  <mergeCells count="16">
    <mergeCell ref="G23:M23"/>
    <mergeCell ref="B4:E4"/>
    <mergeCell ref="G4:H4"/>
    <mergeCell ref="B5:D5"/>
    <mergeCell ref="B6:D6"/>
    <mergeCell ref="B7:D7"/>
    <mergeCell ref="B8:D8"/>
    <mergeCell ref="B33:E33"/>
    <mergeCell ref="B34:D34"/>
    <mergeCell ref="B35:D35"/>
    <mergeCell ref="B36:D36"/>
    <mergeCell ref="B9:D9"/>
    <mergeCell ref="B11:E11"/>
    <mergeCell ref="B12:D12"/>
    <mergeCell ref="B13:D13"/>
    <mergeCell ref="B15:E15"/>
  </mergeCells>
  <dataValidations count="2">
    <dataValidation type="whole" operator="lessThanOrEqual" allowBlank="1" showInputMessage="1" showErrorMessage="1" error="Should be less than 80_x000a_" sqref="E6:F6" xr:uid="{E2259984-F72B-1B4D-BFF0-A6460FFAEC1F}">
      <formula1>79</formula1>
    </dataValidation>
    <dataValidation type="whole" operator="lessThanOrEqual" allowBlank="1" showInputMessage="1" showErrorMessage="1" errorTitle="Cannot be more than 7" error="Cannot be more than 7" sqref="H5" xr:uid="{5AC8DD83-BB4D-C14F-AD84-1E2DCEE72BAC}">
      <formula1>7</formula1>
    </dataValidation>
  </dataValidations>
  <pageMargins left="0.7" right="0.7" top="0.75" bottom="0.75" header="0.3" footer="0.3"/>
  <ignoredErrors>
    <ignoredError sqref="E7 E9 E13 E17:E20 H25 G26:I26 J27:M30 G30:I30 J5:L9 E25:E30" unlocked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4598-927C-9047-9BB9-F8C4ABEACFFF}">
  <dimension ref="B1:AH507"/>
  <sheetViews>
    <sheetView topLeftCell="A34" zoomScaleNormal="100" workbookViewId="0">
      <selection activeCell="F39" sqref="F39"/>
    </sheetView>
  </sheetViews>
  <sheetFormatPr defaultColWidth="11.54296875" defaultRowHeight="14.5" x14ac:dyDescent="0.35"/>
  <cols>
    <col min="2" max="2" width="20.36328125" bestFit="1" customWidth="1"/>
    <col min="3" max="3" width="22.453125" customWidth="1"/>
    <col min="4" max="4" width="18.453125" customWidth="1"/>
    <col min="5" max="5" width="16.36328125" customWidth="1"/>
    <col min="6" max="6" width="17.08984375" customWidth="1"/>
    <col min="7" max="7" width="13.6328125" bestFit="1" customWidth="1"/>
    <col min="8" max="8" width="14.08984375" customWidth="1"/>
    <col min="9" max="9" width="9.6328125" bestFit="1" customWidth="1"/>
    <col min="10" max="10" width="14.36328125" customWidth="1"/>
    <col min="11" max="11" width="16.36328125" customWidth="1"/>
    <col min="12" max="13" width="12" bestFit="1" customWidth="1"/>
    <col min="16" max="16" width="12" bestFit="1" customWidth="1"/>
    <col min="17" max="17" width="14.453125" bestFit="1" customWidth="1"/>
    <col min="18" max="19" width="12" bestFit="1" customWidth="1"/>
    <col min="22" max="22" width="13.453125" bestFit="1" customWidth="1"/>
    <col min="24" max="25" width="13.453125" bestFit="1" customWidth="1"/>
  </cols>
  <sheetData>
    <row r="1" spans="2:34" ht="31" x14ac:dyDescent="0.35">
      <c r="B1" s="114" t="s">
        <v>86</v>
      </c>
      <c r="C1" s="114"/>
      <c r="D1" s="114"/>
      <c r="E1" s="114"/>
      <c r="F1" s="114"/>
      <c r="G1" s="7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2:34" ht="31" x14ac:dyDescent="0.35">
      <c r="B2" s="114"/>
      <c r="C2" s="114"/>
      <c r="D2" s="114"/>
      <c r="E2" s="114"/>
      <c r="F2" s="114"/>
      <c r="G2" s="7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2:34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2:34" x14ac:dyDescent="0.35">
      <c r="B4" s="74" t="s">
        <v>87</v>
      </c>
      <c r="C4" s="1" t="s">
        <v>88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2:34" x14ac:dyDescent="0.35">
      <c r="B5" s="1"/>
      <c r="C5" s="1" t="s">
        <v>89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2:34" x14ac:dyDescent="0.35">
      <c r="B6" s="1"/>
      <c r="C6" s="1" t="s">
        <v>90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2:34" ht="15" thickBot="1" x14ac:dyDescent="0.4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2:34" ht="16" thickBot="1" x14ac:dyDescent="0.4">
      <c r="B8" s="75" t="s">
        <v>91</v>
      </c>
      <c r="C8" s="76">
        <v>0.06</v>
      </c>
      <c r="D8" s="76">
        <v>0.08</v>
      </c>
      <c r="E8" s="76">
        <v>0.1</v>
      </c>
      <c r="F8" s="76">
        <v>0.12</v>
      </c>
      <c r="G8" s="1"/>
      <c r="H8" s="1"/>
      <c r="I8" s="105">
        <v>0.08</v>
      </c>
      <c r="J8" s="22">
        <v>10</v>
      </c>
      <c r="K8" s="22">
        <v>12</v>
      </c>
      <c r="L8" s="2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2:34" ht="15" thickBot="1" x14ac:dyDescent="0.4">
      <c r="B9" s="77" t="s">
        <v>92</v>
      </c>
      <c r="C9" s="78">
        <f>((1+'[1]Bucket Strategy Tool'!J6)/(1+'[1]Bucket Strategy Tool'!$J$5))-1</f>
        <v>3.9603960396039639E-2</v>
      </c>
      <c r="D9" s="78">
        <f>((1+'[1]Bucket Strategy Tool'!J7)/(1+'[1]Bucket Strategy Tool'!$J$5))-1</f>
        <v>5.9405940594059459E-2</v>
      </c>
      <c r="E9" s="78">
        <f>((1+'[1]Bucket Strategy Tool'!J8)/(1+'[1]Bucket Strategy Tool'!$J$5))-1</f>
        <v>7.9207920792079278E-2</v>
      </c>
      <c r="F9" s="79">
        <f>((1+'[1]Bucket Strategy Tool'!J9)/(1+'[1]Bucket Strategy Tool'!$J$5))-1</f>
        <v>9.9009900990099098E-2</v>
      </c>
      <c r="G9" s="1"/>
      <c r="H9" s="106"/>
      <c r="I9" s="107">
        <f>NOMINAL(8%,12)</f>
        <v>7.7208361320041163E-2</v>
      </c>
      <c r="J9" s="107">
        <f>NOMINAL(10%,12)</f>
        <v>9.5689685146845171E-2</v>
      </c>
      <c r="K9" s="107">
        <f>NOMINAL(12%,12)</f>
        <v>0.11386551521499655</v>
      </c>
      <c r="L9" s="2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2:34" ht="15" thickBot="1" x14ac:dyDescent="0.4">
      <c r="B10" s="77" t="s">
        <v>93</v>
      </c>
      <c r="C10" s="78">
        <f>((1+'[1]Bucket Strategy Tool'!J6)/(1+'[1]Bucket Strategy Tool'!$J$5))-1</f>
        <v>3.9603960396039639E-2</v>
      </c>
      <c r="D10" s="78">
        <f>NOMINAL(D9,12)</f>
        <v>5.7847300735936358E-2</v>
      </c>
      <c r="E10" s="78">
        <f t="shared" ref="E10:F10" si="0">NOMINAL(E9,12)</f>
        <v>7.6469987652123983E-2</v>
      </c>
      <c r="F10" s="79">
        <f t="shared" si="0"/>
        <v>9.4782043193084142E-2</v>
      </c>
      <c r="G10" s="1"/>
      <c r="H10" s="1"/>
      <c r="I10" s="107">
        <f>I9/12</f>
        <v>6.4340301100034303E-3</v>
      </c>
      <c r="J10" s="22"/>
      <c r="K10" s="22"/>
      <c r="L10" s="2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2:34" ht="15" thickBot="1" x14ac:dyDescent="0.4">
      <c r="B11" s="77" t="s">
        <v>94</v>
      </c>
      <c r="C11" s="78">
        <f>NOMINAL(C8,12)</f>
        <v>5.8410606784116581E-2</v>
      </c>
      <c r="D11" s="78">
        <f t="shared" ref="D11:F11" si="1">NOMINAL(D8,12)</f>
        <v>7.7208361320041163E-2</v>
      </c>
      <c r="E11" s="78">
        <f t="shared" si="1"/>
        <v>9.5689685146845171E-2</v>
      </c>
      <c r="F11" s="79">
        <f t="shared" si="1"/>
        <v>0.11386551521499655</v>
      </c>
      <c r="G11" s="1"/>
      <c r="H11" s="1"/>
      <c r="I11" s="22"/>
      <c r="J11" s="22"/>
      <c r="K11" s="22"/>
      <c r="L11" s="2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2:34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2:34" ht="15" thickBot="1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2:34" x14ac:dyDescent="0.35">
      <c r="B14" s="115" t="s">
        <v>95</v>
      </c>
      <c r="C14" s="117">
        <f>'Bucket Strategy Tool'!E13</f>
        <v>150000</v>
      </c>
      <c r="D14" s="1"/>
      <c r="E14" s="80" t="s">
        <v>45</v>
      </c>
      <c r="F14" s="81">
        <f>'Bucket Strategy Tool'!J5</f>
        <v>0.05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2:34" ht="15" thickBot="1" x14ac:dyDescent="0.4">
      <c r="B15" s="116"/>
      <c r="C15" s="118"/>
      <c r="D15" s="1"/>
      <c r="E15" s="82" t="s">
        <v>96</v>
      </c>
      <c r="F15" s="83">
        <f>NOMINAL(F14,12)</f>
        <v>4.8889485403780242E-2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2:34" ht="15" thickBot="1" x14ac:dyDescent="0.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2:34" x14ac:dyDescent="0.35">
      <c r="B17" s="84" t="s">
        <v>97</v>
      </c>
      <c r="C17" s="85"/>
      <c r="D17" s="84" t="s">
        <v>98</v>
      </c>
      <c r="E17" s="85"/>
      <c r="F17" s="84" t="s">
        <v>99</v>
      </c>
      <c r="G17" s="8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2:34" x14ac:dyDescent="0.35">
      <c r="B18" s="86" t="s">
        <v>100</v>
      </c>
      <c r="C18" s="87"/>
      <c r="D18" s="86" t="s">
        <v>100</v>
      </c>
      <c r="E18" s="87"/>
      <c r="F18" s="86" t="s">
        <v>100</v>
      </c>
      <c r="G18" s="8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2:34" x14ac:dyDescent="0.35">
      <c r="B19" s="86">
        <v>1</v>
      </c>
      <c r="C19" s="88">
        <f>C14</f>
        <v>150000</v>
      </c>
      <c r="D19" s="86">
        <v>1</v>
      </c>
      <c r="E19" s="88">
        <f>C19+(C19*$F$14)</f>
        <v>157500</v>
      </c>
      <c r="F19" s="86">
        <v>1</v>
      </c>
      <c r="G19" s="88">
        <f>E19+(E19*$F$14)</f>
        <v>165375</v>
      </c>
      <c r="H19" s="108">
        <f>G19+(G19*F14)</f>
        <v>173643.75</v>
      </c>
      <c r="I19" s="108">
        <f>H19*1.07</f>
        <v>185798.8125</v>
      </c>
      <c r="J19" s="108">
        <f>I19*1.07</f>
        <v>198804.72937500002</v>
      </c>
      <c r="K19" s="1">
        <f>J19*(1.07)</f>
        <v>212721.06043125005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2:34" x14ac:dyDescent="0.35">
      <c r="B20" s="86">
        <v>2</v>
      </c>
      <c r="C20" s="88">
        <f>C19</f>
        <v>150000</v>
      </c>
      <c r="D20" s="86">
        <v>2</v>
      </c>
      <c r="E20" s="88">
        <f t="shared" ref="E20:E30" si="2">C20+(C20*$F$14)</f>
        <v>157500</v>
      </c>
      <c r="F20" s="86">
        <v>2</v>
      </c>
      <c r="G20" s="88">
        <f>G19</f>
        <v>165375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2:34" x14ac:dyDescent="0.35">
      <c r="B21" s="86">
        <v>3</v>
      </c>
      <c r="C21" s="88">
        <f t="shared" ref="C21:C30" si="3">C20</f>
        <v>150000</v>
      </c>
      <c r="D21" s="86">
        <v>3</v>
      </c>
      <c r="E21" s="88">
        <f t="shared" si="2"/>
        <v>157500</v>
      </c>
      <c r="F21" s="86">
        <v>3</v>
      </c>
      <c r="G21" s="88">
        <f t="shared" ref="G21:G30" si="4">G20</f>
        <v>165375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2:34" x14ac:dyDescent="0.35">
      <c r="B22" s="86">
        <v>4</v>
      </c>
      <c r="C22" s="88">
        <f t="shared" si="3"/>
        <v>150000</v>
      </c>
      <c r="D22" s="86">
        <v>4</v>
      </c>
      <c r="E22" s="88">
        <f t="shared" si="2"/>
        <v>157500</v>
      </c>
      <c r="F22" s="86">
        <v>4</v>
      </c>
      <c r="G22" s="88">
        <f t="shared" si="4"/>
        <v>165375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2:34" x14ac:dyDescent="0.35">
      <c r="B23" s="86">
        <v>5</v>
      </c>
      <c r="C23" s="88">
        <f t="shared" si="3"/>
        <v>150000</v>
      </c>
      <c r="D23" s="86">
        <v>5</v>
      </c>
      <c r="E23" s="88">
        <f t="shared" si="2"/>
        <v>157500</v>
      </c>
      <c r="F23" s="86">
        <v>5</v>
      </c>
      <c r="G23" s="88">
        <f t="shared" si="4"/>
        <v>165375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2:34" x14ac:dyDescent="0.35">
      <c r="B24" s="86">
        <v>6</v>
      </c>
      <c r="C24" s="88">
        <f t="shared" si="3"/>
        <v>150000</v>
      </c>
      <c r="D24" s="86">
        <v>6</v>
      </c>
      <c r="E24" s="88">
        <f t="shared" si="2"/>
        <v>157500</v>
      </c>
      <c r="F24" s="86">
        <v>6</v>
      </c>
      <c r="G24" s="88">
        <f t="shared" si="4"/>
        <v>165375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2:34" x14ac:dyDescent="0.35">
      <c r="B25" s="86">
        <v>7</v>
      </c>
      <c r="C25" s="88">
        <f t="shared" si="3"/>
        <v>150000</v>
      </c>
      <c r="D25" s="86">
        <v>7</v>
      </c>
      <c r="E25" s="88">
        <f t="shared" si="2"/>
        <v>157500</v>
      </c>
      <c r="F25" s="86">
        <v>7</v>
      </c>
      <c r="G25" s="88">
        <f t="shared" si="4"/>
        <v>165375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2:34" x14ac:dyDescent="0.35">
      <c r="B26" s="86">
        <v>8</v>
      </c>
      <c r="C26" s="88">
        <f t="shared" si="3"/>
        <v>150000</v>
      </c>
      <c r="D26" s="86">
        <v>8</v>
      </c>
      <c r="E26" s="88">
        <f t="shared" si="2"/>
        <v>157500</v>
      </c>
      <c r="F26" s="86">
        <v>8</v>
      </c>
      <c r="G26" s="88">
        <f t="shared" si="4"/>
        <v>165375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2:34" x14ac:dyDescent="0.35">
      <c r="B27" s="86">
        <v>9</v>
      </c>
      <c r="C27" s="88">
        <f t="shared" si="3"/>
        <v>150000</v>
      </c>
      <c r="D27" s="86">
        <v>9</v>
      </c>
      <c r="E27" s="88">
        <f t="shared" si="2"/>
        <v>157500</v>
      </c>
      <c r="F27" s="86">
        <v>9</v>
      </c>
      <c r="G27" s="88">
        <f t="shared" si="4"/>
        <v>165375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2:34" x14ac:dyDescent="0.35">
      <c r="B28" s="86">
        <v>10</v>
      </c>
      <c r="C28" s="88">
        <f t="shared" si="3"/>
        <v>150000</v>
      </c>
      <c r="D28" s="86">
        <v>10</v>
      </c>
      <c r="E28" s="88">
        <f t="shared" si="2"/>
        <v>157500</v>
      </c>
      <c r="F28" s="86">
        <v>10</v>
      </c>
      <c r="G28" s="88">
        <f t="shared" si="4"/>
        <v>165375</v>
      </c>
      <c r="H28" s="1"/>
      <c r="I28" s="40"/>
      <c r="J28" s="1"/>
      <c r="K28" s="40"/>
      <c r="L28" s="1"/>
      <c r="M28" s="40"/>
      <c r="N28" s="1"/>
      <c r="O28" s="1"/>
      <c r="P28" s="40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2:34" x14ac:dyDescent="0.35">
      <c r="B29" s="86">
        <v>11</v>
      </c>
      <c r="C29" s="88">
        <f t="shared" si="3"/>
        <v>150000</v>
      </c>
      <c r="D29" s="86">
        <v>11</v>
      </c>
      <c r="E29" s="88">
        <f t="shared" si="2"/>
        <v>157500</v>
      </c>
      <c r="F29" s="86">
        <v>11</v>
      </c>
      <c r="G29" s="88">
        <f t="shared" si="4"/>
        <v>165375</v>
      </c>
      <c r="H29" s="1"/>
      <c r="I29" s="40"/>
      <c r="J29" s="1"/>
      <c r="K29" s="40"/>
      <c r="L29" s="1"/>
      <c r="M29" s="40"/>
      <c r="N29" s="1"/>
      <c r="O29" s="1"/>
      <c r="P29" s="40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2:34" ht="15" thickBot="1" x14ac:dyDescent="0.4">
      <c r="B30" s="89">
        <v>12</v>
      </c>
      <c r="C30" s="90">
        <f t="shared" si="3"/>
        <v>150000</v>
      </c>
      <c r="D30" s="89">
        <v>12</v>
      </c>
      <c r="E30" s="90">
        <f t="shared" si="2"/>
        <v>157500</v>
      </c>
      <c r="F30" s="89">
        <v>12</v>
      </c>
      <c r="G30" s="90">
        <f t="shared" si="4"/>
        <v>165375</v>
      </c>
      <c r="H30" s="1"/>
      <c r="I30" s="40"/>
      <c r="J30" s="1"/>
      <c r="K30" s="40"/>
      <c r="L30" s="1"/>
      <c r="M30" s="40"/>
      <c r="N30" s="1"/>
      <c r="O30" s="1"/>
      <c r="P30" s="40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2:34" ht="15" thickBot="1" x14ac:dyDescent="0.4">
      <c r="B31" s="1"/>
      <c r="C31" s="91">
        <f>SUM(C19:C30)</f>
        <v>1800000</v>
      </c>
      <c r="D31" s="11"/>
      <c r="E31" s="91">
        <f>SUM(E19:E30)</f>
        <v>1890000</v>
      </c>
      <c r="F31" s="11"/>
      <c r="G31" s="91">
        <f>SUM(G19:G30)</f>
        <v>1984500</v>
      </c>
      <c r="H31" s="1"/>
      <c r="I31" s="40"/>
      <c r="J31" s="1"/>
      <c r="K31" s="40"/>
      <c r="L31" s="1"/>
      <c r="M31" s="40"/>
      <c r="N31" s="1"/>
      <c r="O31" s="1"/>
      <c r="P31" s="40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2:34" x14ac:dyDescent="0.35">
      <c r="B32" s="1"/>
      <c r="C32" s="1"/>
      <c r="D32" s="1"/>
      <c r="E32" s="1"/>
      <c r="F32" s="1"/>
      <c r="G32" s="1"/>
      <c r="H32" s="1"/>
      <c r="I32" s="40"/>
      <c r="J32" s="1"/>
      <c r="K32" s="40"/>
      <c r="L32" s="1"/>
      <c r="M32" s="40"/>
      <c r="N32" s="1"/>
      <c r="O32" s="1"/>
      <c r="P32" s="40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2:34" x14ac:dyDescent="0.35">
      <c r="B33" s="1"/>
      <c r="C33" s="1"/>
      <c r="D33" s="1"/>
      <c r="E33" s="40"/>
      <c r="F33" s="1"/>
      <c r="G33" s="40"/>
      <c r="H33" s="1"/>
      <c r="I33" s="40"/>
      <c r="J33" s="1"/>
      <c r="K33" s="40"/>
      <c r="L33" s="1"/>
      <c r="M33" s="40"/>
      <c r="N33" s="1"/>
      <c r="O33" s="1"/>
      <c r="P33" s="40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2:34" x14ac:dyDescent="0.35">
      <c r="B34" s="1"/>
      <c r="C34" s="1"/>
      <c r="D34" s="1"/>
      <c r="E34" s="40"/>
      <c r="F34" s="1"/>
      <c r="G34" s="40"/>
      <c r="H34" s="1"/>
      <c r="I34" s="40"/>
      <c r="J34" s="1"/>
      <c r="K34" s="40"/>
      <c r="L34" s="1"/>
      <c r="M34" s="40"/>
      <c r="N34" s="1"/>
      <c r="O34" s="1"/>
      <c r="P34" s="40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2:34" x14ac:dyDescent="0.35">
      <c r="B35" s="1"/>
      <c r="C35" s="1"/>
      <c r="D35" s="1"/>
      <c r="E35" s="40"/>
      <c r="F35" s="1"/>
      <c r="G35" s="40"/>
      <c r="H35" s="1"/>
      <c r="I35" s="40"/>
      <c r="J35" s="1"/>
      <c r="K35" s="40"/>
      <c r="L35" s="1"/>
      <c r="M35" s="40"/>
      <c r="N35" s="1"/>
      <c r="O35" s="1"/>
      <c r="P35" s="40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2:34" x14ac:dyDescent="0.35">
      <c r="B36" s="1"/>
      <c r="C36" s="1"/>
      <c r="D36" s="1"/>
      <c r="E36" s="40"/>
      <c r="F36" s="1"/>
      <c r="G36" s="40"/>
      <c r="H36" s="1"/>
      <c r="I36" s="40"/>
      <c r="J36" s="1"/>
      <c r="K36" s="40"/>
      <c r="L36" s="1"/>
      <c r="M36" s="40"/>
      <c r="N36" s="1"/>
      <c r="O36" s="1"/>
      <c r="P36" s="40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2:34" x14ac:dyDescent="0.35">
      <c r="B37" s="1"/>
      <c r="C37" s="1"/>
      <c r="D37" s="1"/>
      <c r="E37" s="1"/>
      <c r="F37" s="1"/>
      <c r="G37" s="1"/>
      <c r="H37" s="1"/>
      <c r="I37" s="1"/>
      <c r="J37" s="40"/>
      <c r="K37" s="1"/>
      <c r="L37" s="40"/>
      <c r="M37" s="1"/>
      <c r="N37" s="40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2:34" ht="29" x14ac:dyDescent="0.35">
      <c r="B38" s="1"/>
      <c r="C38" s="92" t="s">
        <v>76</v>
      </c>
      <c r="D38" s="92" t="s">
        <v>77</v>
      </c>
      <c r="E38" s="92" t="s">
        <v>78</v>
      </c>
      <c r="F38" s="92" t="s">
        <v>79</v>
      </c>
      <c r="G38" s="74"/>
      <c r="H38" s="119" t="s">
        <v>113</v>
      </c>
      <c r="I38" s="1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2:34" x14ac:dyDescent="0.35">
      <c r="B39" s="93" t="s">
        <v>101</v>
      </c>
      <c r="C39" s="94">
        <f>PV(C10/12,36,-$C$14,,)</f>
        <v>5083647.9319094941</v>
      </c>
      <c r="D39" s="95">
        <f>PV(C10/12,72,-$C$14,,)</f>
        <v>9598682.5239816327</v>
      </c>
      <c r="E39" s="95">
        <f>PV(C10/12,120,-$C$14,,)</f>
        <v>14843104.919573128</v>
      </c>
      <c r="F39" s="95">
        <f>PV(C10/12,('[1]Bucket Strategy Tool'!E9*12),-$C$14,,)</f>
        <v>31569981.363617826</v>
      </c>
      <c r="G39" s="95"/>
      <c r="H39" s="113">
        <f>PV(C10/12,'[1]Bucket Strategy Tool'!E9*12,-$C$14,,)</f>
        <v>31569981.363617826</v>
      </c>
      <c r="I39" s="11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2:34" x14ac:dyDescent="0.35">
      <c r="B40" s="93"/>
      <c r="C40" s="95"/>
      <c r="D40" s="95"/>
      <c r="E40" s="95"/>
      <c r="F40" s="95"/>
      <c r="G40" s="95"/>
      <c r="H40" s="9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2:34" x14ac:dyDescent="0.35">
      <c r="B41" s="93"/>
      <c r="C41" s="95"/>
      <c r="D41" s="95"/>
      <c r="E41" s="95"/>
      <c r="F41" s="95"/>
      <c r="G41" s="95"/>
      <c r="H41" s="9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2:34" x14ac:dyDescent="0.35">
      <c r="B42" s="93" t="s">
        <v>102</v>
      </c>
      <c r="C42" s="96">
        <f>PV($D$10/12,36,-$C$14,,1)</f>
        <v>4970341.5431685019</v>
      </c>
      <c r="D42" s="97">
        <f>PV($D$10/12,72,-$C$14,,1)</f>
        <v>9150560.4108066577</v>
      </c>
      <c r="E42" s="95">
        <f>PV($D$10/12,120,-$C$14,,0)</f>
        <v>13643489.220876755</v>
      </c>
      <c r="F42" s="95">
        <f>PV([1]Workings!$D$10/12,('[1]Bucket Strategy Tool'!E9*12),-$C$14,,0)</f>
        <v>25606839.622488771</v>
      </c>
      <c r="G42" s="95"/>
      <c r="H42" s="113">
        <f>PV(D10/12,'[1]Bucket Strategy Tool'!E9*12,-[1]Workings!$C$14,,)</f>
        <v>25606839.622488771</v>
      </c>
      <c r="I42" s="11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2:34" x14ac:dyDescent="0.35">
      <c r="B43" s="93"/>
      <c r="C43" s="98"/>
      <c r="D43" s="99">
        <f>D42-C42</f>
        <v>4180218.8676381558</v>
      </c>
      <c r="E43" s="100">
        <f>K52</f>
        <v>3966369.5446670218</v>
      </c>
      <c r="F43" s="100" t="s">
        <v>103</v>
      </c>
      <c r="G43" s="95"/>
      <c r="H43" s="95"/>
      <c r="I43" s="4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2:34" x14ac:dyDescent="0.35">
      <c r="B44" s="93"/>
      <c r="C44" s="95"/>
      <c r="D44" s="95"/>
      <c r="E44" s="95"/>
      <c r="F44" s="95"/>
      <c r="G44" s="95"/>
      <c r="H44" s="95"/>
      <c r="I44" s="4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2:34" x14ac:dyDescent="0.35">
      <c r="B45" s="93" t="s">
        <v>104</v>
      </c>
      <c r="C45" s="96">
        <f>PV($E$10/12,36,-$C$14,,1)</f>
        <v>4842399.6572410371</v>
      </c>
      <c r="D45" s="101">
        <f>PV($E$10/12,72,-$C$14,,1)</f>
        <v>8694922.8125179522</v>
      </c>
      <c r="E45" s="97">
        <f>PV($E$10/12,120,-$C$14,,1)</f>
        <v>12635421.579502311</v>
      </c>
      <c r="F45" s="95">
        <f>PV($E$10/12,('[1]Bucket Strategy Tool'!E9*12),-$C$14)</f>
        <v>21147381.113973722</v>
      </c>
      <c r="G45" s="95"/>
      <c r="H45" s="113">
        <f>PV(E10/12,'[1]Bucket Strategy Tool'!E9*12,-[1]Workings!$C$14,,)</f>
        <v>21147381.113973722</v>
      </c>
      <c r="I45" s="11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2:34" x14ac:dyDescent="0.35">
      <c r="B46" s="93"/>
      <c r="C46" s="98"/>
      <c r="D46" s="102"/>
      <c r="E46" s="99">
        <f>E45-D45</f>
        <v>3940498.7669843584</v>
      </c>
      <c r="F46" s="100">
        <f>Q52</f>
        <v>3193421.241857518</v>
      </c>
      <c r="G46" s="100" t="s">
        <v>105</v>
      </c>
      <c r="H46" s="95"/>
      <c r="I46" s="4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2:34" x14ac:dyDescent="0.35">
      <c r="B47" s="93"/>
      <c r="C47" s="95"/>
      <c r="D47" s="95"/>
      <c r="E47" s="95"/>
      <c r="F47" s="95"/>
      <c r="G47" s="95"/>
      <c r="H47" s="95"/>
      <c r="I47" s="4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2:34" x14ac:dyDescent="0.35">
      <c r="B48" s="93" t="s">
        <v>106</v>
      </c>
      <c r="C48" s="96">
        <f>PV($F$10/12,36,-$C$14,,1)</f>
        <v>4721165.9803139484</v>
      </c>
      <c r="D48" s="101">
        <f>PV($F$10/12,72,-$C$14,,1)</f>
        <v>8277843.2058838876</v>
      </c>
      <c r="E48" s="101">
        <f>PV($F$10/12,120,-$C$14,,1)</f>
        <v>11694524.806820981</v>
      </c>
      <c r="F48" s="97">
        <f>PV($F$10/12,('[1]Bucket Strategy Tool'!E9*12),-$C$14,,1)</f>
        <v>18013961.900113452</v>
      </c>
      <c r="G48" s="95"/>
      <c r="H48" s="113">
        <f>PV(F10/12,'[1]Bucket Strategy Tool'!E9*12,-$C$14,,)</f>
        <v>17872793.575723842</v>
      </c>
      <c r="I48" s="11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2:34" x14ac:dyDescent="0.35">
      <c r="B49" s="1"/>
      <c r="C49" s="98"/>
      <c r="D49" s="102"/>
      <c r="E49" s="102"/>
      <c r="F49" s="99">
        <f>F48-E48</f>
        <v>6319437.093292471</v>
      </c>
      <c r="G49" s="100">
        <f>W52</f>
        <v>4715314.9933246747</v>
      </c>
      <c r="H49" s="100" t="s">
        <v>114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2:34" x14ac:dyDescent="0.35">
      <c r="B50" s="1"/>
      <c r="C50" s="95"/>
      <c r="D50" s="95"/>
      <c r="E50" s="95"/>
      <c r="F50" s="95"/>
      <c r="G50" s="95"/>
      <c r="H50" s="9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2:34" x14ac:dyDescent="0.35">
      <c r="B51" s="1"/>
      <c r="C51" s="1"/>
      <c r="D51" s="95"/>
      <c r="E51" s="95"/>
      <c r="F51" s="95"/>
      <c r="G51" s="95"/>
      <c r="H51" s="95"/>
      <c r="I51" s="95"/>
      <c r="J51" s="100">
        <f>J92</f>
        <v>4996483.3118515816</v>
      </c>
      <c r="K51" s="100" t="s">
        <v>115</v>
      </c>
      <c r="L51" s="11" t="s">
        <v>116</v>
      </c>
      <c r="M51" s="33">
        <v>0.08</v>
      </c>
      <c r="N51" s="1"/>
      <c r="O51" s="1"/>
      <c r="P51" s="100">
        <f>P128</f>
        <v>5657340.5286463574</v>
      </c>
      <c r="Q51" s="100" t="s">
        <v>117</v>
      </c>
      <c r="R51" s="11" t="s">
        <v>116</v>
      </c>
      <c r="S51" s="33">
        <v>0.1</v>
      </c>
      <c r="T51" s="1"/>
      <c r="U51" s="1"/>
      <c r="V51" s="100">
        <f>V176</f>
        <v>14645052.623796213</v>
      </c>
      <c r="W51" s="100" t="s">
        <v>118</v>
      </c>
      <c r="X51" s="11" t="s">
        <v>116</v>
      </c>
      <c r="Y51" s="33">
        <v>0.1</v>
      </c>
      <c r="Z51" s="1"/>
      <c r="AA51" s="1"/>
      <c r="AB51" s="1"/>
      <c r="AC51" s="1"/>
      <c r="AD51" s="1"/>
      <c r="AE51" s="1"/>
      <c r="AF51" s="1"/>
      <c r="AG51" s="1"/>
      <c r="AH51" s="1"/>
    </row>
    <row r="52" spans="2:34" x14ac:dyDescent="0.35">
      <c r="B52" s="1"/>
      <c r="C52" s="1"/>
      <c r="D52" s="1"/>
      <c r="E52" s="1"/>
      <c r="F52" s="1"/>
      <c r="G52" s="1"/>
      <c r="H52" s="1"/>
      <c r="I52" s="1"/>
      <c r="J52" s="26" t="s">
        <v>119</v>
      </c>
      <c r="K52" s="40">
        <f>PV(D11/12,36,,-J92)</f>
        <v>3966369.5446670218</v>
      </c>
      <c r="L52" s="11" t="s">
        <v>120</v>
      </c>
      <c r="M52" s="11" t="s">
        <v>121</v>
      </c>
      <c r="N52" s="40"/>
      <c r="O52" s="1"/>
      <c r="P52" s="1" t="s">
        <v>119</v>
      </c>
      <c r="Q52" s="40">
        <f>PV(J9/12,72,,-P128)</f>
        <v>3193421.241857518</v>
      </c>
      <c r="R52" s="11" t="s">
        <v>120</v>
      </c>
      <c r="S52" s="11" t="s">
        <v>122</v>
      </c>
      <c r="T52" s="1"/>
      <c r="U52" s="1"/>
      <c r="V52" s="1" t="s">
        <v>119</v>
      </c>
      <c r="W52" s="95">
        <f>PV(K9/12,120,,-V176)</f>
        <v>4715314.9933246747</v>
      </c>
      <c r="X52" s="11" t="s">
        <v>120</v>
      </c>
      <c r="Y52" s="11" t="s">
        <v>123</v>
      </c>
      <c r="Z52" s="1"/>
      <c r="AA52" s="1"/>
      <c r="AB52" s="1"/>
      <c r="AC52" s="1"/>
      <c r="AD52" s="1"/>
      <c r="AE52" s="1"/>
      <c r="AF52" s="1"/>
      <c r="AG52" s="1"/>
      <c r="AH52" s="1"/>
    </row>
    <row r="53" spans="2:34" x14ac:dyDescent="0.35">
      <c r="B53" s="1"/>
      <c r="C53" s="1"/>
      <c r="D53" s="121" t="s">
        <v>107</v>
      </c>
      <c r="E53" s="121"/>
      <c r="F53" s="121"/>
      <c r="G53" s="121"/>
      <c r="H53" s="1"/>
      <c r="I53" s="121" t="s">
        <v>124</v>
      </c>
      <c r="J53" s="121"/>
      <c r="K53" s="121"/>
      <c r="L53" s="121"/>
      <c r="M53" s="121"/>
      <c r="N53" s="1"/>
      <c r="O53" s="121" t="s">
        <v>125</v>
      </c>
      <c r="P53" s="121"/>
      <c r="Q53" s="121"/>
      <c r="R53" s="121"/>
      <c r="S53" s="121"/>
      <c r="T53" s="1"/>
      <c r="U53" s="121" t="s">
        <v>126</v>
      </c>
      <c r="V53" s="121"/>
      <c r="W53" s="121"/>
      <c r="X53" s="121"/>
      <c r="Y53" s="121"/>
      <c r="Z53" s="1"/>
      <c r="AA53" s="1"/>
      <c r="AB53" s="1"/>
      <c r="AC53" s="1"/>
      <c r="AD53" s="1"/>
      <c r="AE53" s="1"/>
      <c r="AF53" s="1"/>
      <c r="AG53" s="1"/>
      <c r="AH53" s="1"/>
    </row>
    <row r="54" spans="2:34" x14ac:dyDescent="0.35">
      <c r="B54" s="1"/>
      <c r="C54" s="120" t="s">
        <v>108</v>
      </c>
      <c r="D54" s="120"/>
      <c r="E54" s="120"/>
      <c r="F54" s="120"/>
      <c r="G54" s="120"/>
      <c r="H54" s="1"/>
      <c r="I54" s="120" t="s">
        <v>108</v>
      </c>
      <c r="J54" s="120"/>
      <c r="K54" s="120"/>
      <c r="L54" s="120"/>
      <c r="M54" s="120"/>
      <c r="N54" s="1"/>
      <c r="O54" s="120" t="s">
        <v>108</v>
      </c>
      <c r="P54" s="120"/>
      <c r="Q54" s="120"/>
      <c r="R54" s="120"/>
      <c r="S54" s="120"/>
      <c r="T54" s="1"/>
      <c r="U54" s="120" t="s">
        <v>108</v>
      </c>
      <c r="V54" s="120"/>
      <c r="W54" s="120"/>
      <c r="X54" s="120"/>
      <c r="Y54" s="120"/>
      <c r="Z54" s="1"/>
      <c r="AA54" s="1"/>
      <c r="AB54" s="1"/>
      <c r="AC54" s="1"/>
      <c r="AD54" s="1"/>
      <c r="AE54" s="1"/>
      <c r="AF54" s="1"/>
      <c r="AG54" s="1"/>
      <c r="AH54" s="1"/>
    </row>
    <row r="55" spans="2:34" ht="58" x14ac:dyDescent="0.35">
      <c r="B55" s="1"/>
      <c r="C55" s="10" t="s">
        <v>100</v>
      </c>
      <c r="D55" s="10" t="s">
        <v>109</v>
      </c>
      <c r="E55" s="10" t="s">
        <v>110</v>
      </c>
      <c r="F55" s="10" t="s">
        <v>111</v>
      </c>
      <c r="G55" s="10" t="s">
        <v>112</v>
      </c>
      <c r="H55" s="1"/>
      <c r="I55" s="10" t="s">
        <v>100</v>
      </c>
      <c r="J55" s="10" t="s">
        <v>109</v>
      </c>
      <c r="K55" s="10" t="s">
        <v>110</v>
      </c>
      <c r="L55" s="10" t="s">
        <v>111</v>
      </c>
      <c r="M55" s="10" t="s">
        <v>127</v>
      </c>
      <c r="N55" s="1"/>
      <c r="O55" s="10" t="s">
        <v>100</v>
      </c>
      <c r="P55" s="10" t="s">
        <v>109</v>
      </c>
      <c r="Q55" s="10" t="s">
        <v>110</v>
      </c>
      <c r="R55" s="10" t="s">
        <v>111</v>
      </c>
      <c r="S55" s="10" t="s">
        <v>128</v>
      </c>
      <c r="T55" s="1"/>
      <c r="U55" s="10" t="s">
        <v>100</v>
      </c>
      <c r="V55" s="10" t="s">
        <v>109</v>
      </c>
      <c r="W55" s="10" t="s">
        <v>110</v>
      </c>
      <c r="X55" s="10" t="s">
        <v>111</v>
      </c>
      <c r="Y55" s="10" t="s">
        <v>129</v>
      </c>
      <c r="Z55" s="1"/>
      <c r="AA55" s="1"/>
      <c r="AB55" s="1"/>
      <c r="AC55" s="1"/>
      <c r="AD55" s="1"/>
      <c r="AE55" s="1"/>
      <c r="AF55" s="1"/>
      <c r="AG55" s="1"/>
      <c r="AH55" s="1"/>
    </row>
    <row r="56" spans="2:34" x14ac:dyDescent="0.35">
      <c r="B56" s="1"/>
      <c r="C56" s="1">
        <v>1</v>
      </c>
      <c r="D56" s="103">
        <f>C39</f>
        <v>5083647.9319094941</v>
      </c>
      <c r="E56" s="104">
        <f>C14</f>
        <v>150000</v>
      </c>
      <c r="F56" s="40">
        <f>D56-E56</f>
        <v>4933647.9319094941</v>
      </c>
      <c r="G56" s="40">
        <f t="shared" ref="G56:G91" si="5">F56+(F56*($F$15/12))</f>
        <v>4953748.2242890345</v>
      </c>
      <c r="H56" s="1"/>
      <c r="I56" s="1">
        <v>1</v>
      </c>
      <c r="J56" s="95">
        <f>D42</f>
        <v>9150560.4108066577</v>
      </c>
      <c r="K56" s="95">
        <f>C14</f>
        <v>150000</v>
      </c>
      <c r="L56" s="95">
        <f>J56-K56</f>
        <v>9000560.4108066577</v>
      </c>
      <c r="M56" s="95">
        <f>L56+(L56*($I$9/12))</f>
        <v>9058470.2874966934</v>
      </c>
      <c r="N56" s="1"/>
      <c r="O56" s="1">
        <v>1</v>
      </c>
      <c r="P56" s="95">
        <f>E45</f>
        <v>12635421.579502311</v>
      </c>
      <c r="Q56" s="95">
        <f>E56</f>
        <v>150000</v>
      </c>
      <c r="R56" s="95">
        <f>P56-Q56</f>
        <v>12485421.579502311</v>
      </c>
      <c r="S56" s="95">
        <f>R56+(R56*($J$9/12))</f>
        <v>12584982.084491327</v>
      </c>
      <c r="T56" s="1"/>
      <c r="U56" s="1">
        <v>1</v>
      </c>
      <c r="V56" s="95">
        <f>F48</f>
        <v>18013961.900113452</v>
      </c>
      <c r="W56" s="95">
        <f>C14</f>
        <v>150000</v>
      </c>
      <c r="X56" s="95">
        <f>V56-W56</f>
        <v>17863961.900113452</v>
      </c>
      <c r="Y56" s="95">
        <f>X56+(X56*($K$9/12))</f>
        <v>18033469.33557491</v>
      </c>
      <c r="Z56" s="1"/>
      <c r="AA56" s="1"/>
      <c r="AB56" s="1"/>
      <c r="AC56" s="1"/>
      <c r="AD56" s="1"/>
      <c r="AE56" s="1"/>
      <c r="AF56" s="1"/>
      <c r="AG56" s="1"/>
      <c r="AH56" s="1"/>
    </row>
    <row r="57" spans="2:34" x14ac:dyDescent="0.35">
      <c r="B57" s="1"/>
      <c r="C57" s="1">
        <f>C56+1</f>
        <v>2</v>
      </c>
      <c r="D57" s="40">
        <f>G56</f>
        <v>4953748.2242890345</v>
      </c>
      <c r="E57" s="104">
        <f t="shared" ref="E57:E91" si="6">E56+(E56*$F$15/12)</f>
        <v>150611.11856754727</v>
      </c>
      <c r="F57" s="40">
        <f>D57-E57</f>
        <v>4803137.1057214877</v>
      </c>
      <c r="G57" s="40">
        <f t="shared" si="5"/>
        <v>4822705.6808400312</v>
      </c>
      <c r="H57" s="1"/>
      <c r="I57" s="1">
        <f>I56+1</f>
        <v>2</v>
      </c>
      <c r="J57" s="95">
        <f>M56</f>
        <v>9058470.2874966934</v>
      </c>
      <c r="K57" s="95">
        <f>K56+K56*($F$15/12)</f>
        <v>150611.11856754727</v>
      </c>
      <c r="L57" s="95">
        <f t="shared" ref="L57:L120" si="7">J57-K57</f>
        <v>8907859.1689291466</v>
      </c>
      <c r="M57" s="95">
        <f t="shared" ref="M57:M120" si="8">L57+(L57*($I$9/12))</f>
        <v>8965172.6030377075</v>
      </c>
      <c r="N57" s="1"/>
      <c r="O57" s="1">
        <f>O56+1</f>
        <v>2</v>
      </c>
      <c r="P57" s="95">
        <f>S56</f>
        <v>12584982.084491327</v>
      </c>
      <c r="Q57" s="95">
        <f>Q56+Q56*($F$15/12)</f>
        <v>150611.11856754727</v>
      </c>
      <c r="R57" s="95">
        <f>P57-Q57</f>
        <v>12434370.965923781</v>
      </c>
      <c r="S57" s="95">
        <f>R57+(R57*($J$9/12))</f>
        <v>12533524.386151141</v>
      </c>
      <c r="T57" s="1"/>
      <c r="U57" s="1">
        <f>U56+1</f>
        <v>2</v>
      </c>
      <c r="V57" s="95">
        <f>Y56</f>
        <v>18033469.33557491</v>
      </c>
      <c r="W57" s="95">
        <f>W56+W56*($F$15/12)</f>
        <v>150611.11856754727</v>
      </c>
      <c r="X57" s="95">
        <f>V57-W57</f>
        <v>17882858.217007361</v>
      </c>
      <c r="Y57" s="95">
        <f>X57+(X57*($K$9/12))</f>
        <v>18052544.955707051</v>
      </c>
      <c r="Z57" s="1"/>
      <c r="AA57" s="1"/>
      <c r="AB57" s="1"/>
      <c r="AC57" s="1"/>
      <c r="AD57" s="1"/>
      <c r="AE57" s="1"/>
      <c r="AF57" s="1"/>
      <c r="AG57" s="1"/>
      <c r="AH57" s="1"/>
    </row>
    <row r="58" spans="2:34" x14ac:dyDescent="0.35">
      <c r="B58" s="1"/>
      <c r="C58" s="1">
        <f t="shared" ref="C58:C91" si="9">C57+1</f>
        <v>3</v>
      </c>
      <c r="D58" s="40">
        <f t="shared" ref="D58:D91" si="10">G57</f>
        <v>4822705.6808400312</v>
      </c>
      <c r="E58" s="104">
        <f t="shared" si="6"/>
        <v>151224.7269077852</v>
      </c>
      <c r="F58" s="40">
        <f>D58-E58</f>
        <v>4671480.9539322462</v>
      </c>
      <c r="G58" s="40">
        <f t="shared" si="5"/>
        <v>4690513.1455915216</v>
      </c>
      <c r="H58" s="1"/>
      <c r="I58" s="1">
        <f t="shared" ref="I58:I121" si="11">I57+1</f>
        <v>3</v>
      </c>
      <c r="J58" s="95">
        <f t="shared" ref="J58:J121" si="12">M57</f>
        <v>8965172.6030377075</v>
      </c>
      <c r="K58" s="95">
        <f t="shared" ref="K58:K121" si="13">K57+K57*($F$15/12)</f>
        <v>151224.7269077852</v>
      </c>
      <c r="L58" s="95">
        <f t="shared" si="7"/>
        <v>8813947.8761299215</v>
      </c>
      <c r="M58" s="95">
        <f t="shared" si="8"/>
        <v>8870657.0821529422</v>
      </c>
      <c r="N58" s="1"/>
      <c r="O58" s="1">
        <f t="shared" ref="O58:O121" si="14">O57+1</f>
        <v>3</v>
      </c>
      <c r="P58" s="95">
        <f t="shared" ref="P58:P121" si="15">S57</f>
        <v>12533524.386151141</v>
      </c>
      <c r="Q58" s="95">
        <f t="shared" ref="Q58:Q121" si="16">Q57+Q57*($F$15/12)</f>
        <v>151224.7269077852</v>
      </c>
      <c r="R58" s="95">
        <f t="shared" ref="R58:R121" si="17">P58-Q58</f>
        <v>12382299.659243355</v>
      </c>
      <c r="S58" s="95">
        <f t="shared" ref="S58:S121" si="18">R58+(R58*($J$9/12))</f>
        <v>12481037.855558928</v>
      </c>
      <c r="T58" s="1"/>
      <c r="U58" s="1">
        <f t="shared" ref="U58:U121" si="19">U57+1</f>
        <v>3</v>
      </c>
      <c r="V58" s="95">
        <f t="shared" ref="V58:V121" si="20">Y57</f>
        <v>18052544.955707051</v>
      </c>
      <c r="W58" s="95">
        <f t="shared" ref="W58:W121" si="21">W57+W57*($F$15/12)</f>
        <v>151224.7269077852</v>
      </c>
      <c r="X58" s="95">
        <f t="shared" ref="X58:X121" si="22">V58-W58</f>
        <v>17901320.228799265</v>
      </c>
      <c r="Y58" s="95">
        <f t="shared" ref="Y58:Y121" si="23">X58+(X58*($K$9/12))</f>
        <v>18071182.149706002</v>
      </c>
      <c r="Z58" s="1"/>
      <c r="AA58" s="1"/>
      <c r="AB58" s="1"/>
      <c r="AC58" s="1"/>
      <c r="AD58" s="1"/>
      <c r="AE58" s="1"/>
      <c r="AF58" s="1"/>
      <c r="AG58" s="1"/>
      <c r="AH58" s="1"/>
    </row>
    <row r="59" spans="2:34" x14ac:dyDescent="0.35">
      <c r="B59" s="1"/>
      <c r="C59" s="1">
        <f t="shared" si="9"/>
        <v>4</v>
      </c>
      <c r="D59" s="40">
        <f t="shared" si="10"/>
        <v>4690513.1455915216</v>
      </c>
      <c r="E59" s="104">
        <f t="shared" si="6"/>
        <v>151840.83516435593</v>
      </c>
      <c r="F59" s="40">
        <f t="shared" ref="F59:F91" si="24">D59-E59</f>
        <v>4538672.3104271656</v>
      </c>
      <c r="G59" s="40">
        <f t="shared" si="5"/>
        <v>4557163.4232332632</v>
      </c>
      <c r="H59" s="1"/>
      <c r="I59" s="1">
        <f t="shared" si="11"/>
        <v>4</v>
      </c>
      <c r="J59" s="95">
        <f t="shared" si="12"/>
        <v>8870657.0821529422</v>
      </c>
      <c r="K59" s="95">
        <f t="shared" si="13"/>
        <v>151840.83516435593</v>
      </c>
      <c r="L59" s="95">
        <f t="shared" si="7"/>
        <v>8718816.2469885871</v>
      </c>
      <c r="M59" s="95">
        <f t="shared" si="8"/>
        <v>8774913.3732452989</v>
      </c>
      <c r="N59" s="1"/>
      <c r="O59" s="1">
        <f t="shared" si="14"/>
        <v>4</v>
      </c>
      <c r="P59" s="95">
        <f t="shared" si="15"/>
        <v>12481037.855558928</v>
      </c>
      <c r="Q59" s="95">
        <f t="shared" si="16"/>
        <v>151840.83516435593</v>
      </c>
      <c r="R59" s="95">
        <f t="shared" si="17"/>
        <v>12329197.020394573</v>
      </c>
      <c r="S59" s="95">
        <f t="shared" si="18"/>
        <v>12427511.768810822</v>
      </c>
      <c r="T59" s="1"/>
      <c r="U59" s="1">
        <f t="shared" si="19"/>
        <v>4</v>
      </c>
      <c r="V59" s="95">
        <f t="shared" si="20"/>
        <v>18071182.149706002</v>
      </c>
      <c r="W59" s="95">
        <f t="shared" si="21"/>
        <v>151840.83516435593</v>
      </c>
      <c r="X59" s="95">
        <f t="shared" si="22"/>
        <v>17919341.314541645</v>
      </c>
      <c r="Y59" s="95">
        <f t="shared" si="23"/>
        <v>18089374.23379945</v>
      </c>
      <c r="Z59" s="1"/>
      <c r="AA59" s="1"/>
      <c r="AB59" s="1"/>
      <c r="AC59" s="1"/>
      <c r="AD59" s="1"/>
      <c r="AE59" s="1"/>
      <c r="AF59" s="1"/>
      <c r="AG59" s="1"/>
      <c r="AH59" s="1"/>
    </row>
    <row r="60" spans="2:34" x14ac:dyDescent="0.35">
      <c r="B60" s="1"/>
      <c r="C60" s="1">
        <f t="shared" si="9"/>
        <v>5</v>
      </c>
      <c r="D60" s="40">
        <f t="shared" si="10"/>
        <v>4557163.4232332632</v>
      </c>
      <c r="E60" s="104">
        <f t="shared" si="6"/>
        <v>152459.45352222805</v>
      </c>
      <c r="F60" s="40">
        <f t="shared" si="24"/>
        <v>4404703.9697110355</v>
      </c>
      <c r="G60" s="40">
        <f t="shared" si="5"/>
        <v>4422649.2789139654</v>
      </c>
      <c r="H60" s="1"/>
      <c r="I60" s="1">
        <f t="shared" si="11"/>
        <v>5</v>
      </c>
      <c r="J60" s="95">
        <f t="shared" si="12"/>
        <v>8774913.3732452989</v>
      </c>
      <c r="K60" s="95">
        <f t="shared" si="13"/>
        <v>152459.45352222805</v>
      </c>
      <c r="L60" s="95">
        <f t="shared" si="7"/>
        <v>8622453.9197230712</v>
      </c>
      <c r="M60" s="95">
        <f t="shared" si="8"/>
        <v>8677931.0478646867</v>
      </c>
      <c r="N60" s="1"/>
      <c r="O60" s="1">
        <f t="shared" si="14"/>
        <v>5</v>
      </c>
      <c r="P60" s="95">
        <f t="shared" si="15"/>
        <v>12427511.768810822</v>
      </c>
      <c r="Q60" s="95">
        <f t="shared" si="16"/>
        <v>152459.45352222805</v>
      </c>
      <c r="R60" s="95">
        <f t="shared" si="17"/>
        <v>12275052.315288594</v>
      </c>
      <c r="S60" s="95">
        <f t="shared" si="18"/>
        <v>12372935.306222845</v>
      </c>
      <c r="T60" s="1"/>
      <c r="U60" s="1">
        <f t="shared" si="19"/>
        <v>5</v>
      </c>
      <c r="V60" s="95">
        <f t="shared" si="20"/>
        <v>18089374.23379945</v>
      </c>
      <c r="W60" s="95">
        <f t="shared" si="21"/>
        <v>152459.45352222805</v>
      </c>
      <c r="X60" s="95">
        <f t="shared" si="22"/>
        <v>17936914.780277222</v>
      </c>
      <c r="Y60" s="95">
        <f t="shared" si="23"/>
        <v>18107114.450512536</v>
      </c>
      <c r="Z60" s="1"/>
      <c r="AA60" s="1"/>
      <c r="AB60" s="1"/>
      <c r="AC60" s="1"/>
      <c r="AD60" s="1"/>
      <c r="AE60" s="1"/>
      <c r="AF60" s="1"/>
      <c r="AG60" s="1"/>
      <c r="AH60" s="1"/>
    </row>
    <row r="61" spans="2:34" x14ac:dyDescent="0.35">
      <c r="B61" s="1"/>
      <c r="C61" s="1">
        <f t="shared" si="9"/>
        <v>6</v>
      </c>
      <c r="D61" s="40">
        <f t="shared" si="10"/>
        <v>4422649.2789139654</v>
      </c>
      <c r="E61" s="104">
        <f t="shared" si="6"/>
        <v>153080.592207865</v>
      </c>
      <c r="F61" s="40">
        <f t="shared" si="24"/>
        <v>4269568.6867061006</v>
      </c>
      <c r="G61" s="40">
        <f t="shared" si="5"/>
        <v>4286963.4380385298</v>
      </c>
      <c r="H61" s="1"/>
      <c r="I61" s="1">
        <f t="shared" si="11"/>
        <v>6</v>
      </c>
      <c r="J61" s="95">
        <f t="shared" si="12"/>
        <v>8677931.0478646867</v>
      </c>
      <c r="K61" s="95">
        <f t="shared" si="13"/>
        <v>153080.592207865</v>
      </c>
      <c r="L61" s="95">
        <f t="shared" si="7"/>
        <v>8524850.4556568209</v>
      </c>
      <c r="M61" s="95">
        <f t="shared" si="8"/>
        <v>8579699.6001717933</v>
      </c>
      <c r="N61" s="1"/>
      <c r="O61" s="1">
        <f t="shared" si="14"/>
        <v>6</v>
      </c>
      <c r="P61" s="95">
        <f t="shared" si="15"/>
        <v>12372935.306222845</v>
      </c>
      <c r="Q61" s="95">
        <f t="shared" si="16"/>
        <v>153080.592207865</v>
      </c>
      <c r="R61" s="95">
        <f t="shared" si="17"/>
        <v>12219854.714014979</v>
      </c>
      <c r="S61" s="95">
        <f t="shared" si="18"/>
        <v>12317297.551525336</v>
      </c>
      <c r="T61" s="1"/>
      <c r="U61" s="1">
        <f t="shared" si="19"/>
        <v>6</v>
      </c>
      <c r="V61" s="95">
        <f t="shared" si="20"/>
        <v>18107114.450512536</v>
      </c>
      <c r="W61" s="95">
        <f t="shared" si="21"/>
        <v>153080.592207865</v>
      </c>
      <c r="X61" s="95">
        <f t="shared" si="22"/>
        <v>17954033.858304672</v>
      </c>
      <c r="Y61" s="95">
        <f t="shared" si="23"/>
        <v>18124395.967926618</v>
      </c>
      <c r="Z61" s="1"/>
      <c r="AA61" s="1"/>
      <c r="AB61" s="1"/>
      <c r="AC61" s="1"/>
      <c r="AD61" s="1"/>
      <c r="AE61" s="1"/>
      <c r="AF61" s="1"/>
      <c r="AG61" s="1"/>
      <c r="AH61" s="1"/>
    </row>
    <row r="62" spans="2:34" x14ac:dyDescent="0.35">
      <c r="B62" s="1"/>
      <c r="C62" s="1">
        <f t="shared" si="9"/>
        <v>7</v>
      </c>
      <c r="D62" s="40">
        <f t="shared" si="10"/>
        <v>4286963.4380385298</v>
      </c>
      <c r="E62" s="104">
        <f t="shared" si="6"/>
        <v>153704.26148939403</v>
      </c>
      <c r="F62" s="40">
        <f t="shared" si="24"/>
        <v>4133259.1765491357</v>
      </c>
      <c r="G62" s="40">
        <f t="shared" si="5"/>
        <v>4150098.5860642972</v>
      </c>
      <c r="H62" s="1"/>
      <c r="I62" s="1">
        <f t="shared" si="11"/>
        <v>7</v>
      </c>
      <c r="J62" s="95">
        <f t="shared" si="12"/>
        <v>8579699.6001717933</v>
      </c>
      <c r="K62" s="95">
        <f t="shared" si="13"/>
        <v>153704.26148939403</v>
      </c>
      <c r="L62" s="95">
        <f t="shared" si="7"/>
        <v>8425995.3386824001</v>
      </c>
      <c r="M62" s="95">
        <f t="shared" si="8"/>
        <v>8480208.4463982303</v>
      </c>
      <c r="N62" s="1"/>
      <c r="O62" s="1">
        <f t="shared" si="14"/>
        <v>7</v>
      </c>
      <c r="P62" s="95">
        <f t="shared" si="15"/>
        <v>12317297.551525336</v>
      </c>
      <c r="Q62" s="95">
        <f t="shared" si="16"/>
        <v>153704.26148939403</v>
      </c>
      <c r="R62" s="95">
        <f t="shared" si="17"/>
        <v>12163593.290035943</v>
      </c>
      <c r="S62" s="95">
        <f t="shared" si="18"/>
        <v>12260587.491050761</v>
      </c>
      <c r="T62" s="1"/>
      <c r="U62" s="1">
        <f t="shared" si="19"/>
        <v>7</v>
      </c>
      <c r="V62" s="95">
        <f t="shared" si="20"/>
        <v>18124395.967926618</v>
      </c>
      <c r="W62" s="95">
        <f t="shared" si="21"/>
        <v>153704.26148939403</v>
      </c>
      <c r="X62" s="95">
        <f t="shared" si="22"/>
        <v>17970691.706437223</v>
      </c>
      <c r="Y62" s="95">
        <f t="shared" si="23"/>
        <v>18141211.878930833</v>
      </c>
      <c r="Z62" s="1"/>
      <c r="AA62" s="1"/>
      <c r="AB62" s="1"/>
      <c r="AC62" s="1"/>
      <c r="AD62" s="1"/>
      <c r="AE62" s="1"/>
      <c r="AF62" s="1"/>
      <c r="AG62" s="1"/>
      <c r="AH62" s="1"/>
    </row>
    <row r="63" spans="2:34" x14ac:dyDescent="0.35">
      <c r="B63" s="1"/>
      <c r="C63" s="1">
        <f t="shared" si="9"/>
        <v>8</v>
      </c>
      <c r="D63" s="40">
        <f t="shared" si="10"/>
        <v>4150098.5860642972</v>
      </c>
      <c r="E63" s="104">
        <f t="shared" si="6"/>
        <v>154330.47167677607</v>
      </c>
      <c r="F63" s="40">
        <f t="shared" si="24"/>
        <v>3995768.1143875211</v>
      </c>
      <c r="G63" s="40">
        <f t="shared" si="5"/>
        <v>4012047.3682962912</v>
      </c>
      <c r="H63" s="1"/>
      <c r="I63" s="1">
        <f t="shared" si="11"/>
        <v>8</v>
      </c>
      <c r="J63" s="95">
        <f t="shared" si="12"/>
        <v>8480208.4463982303</v>
      </c>
      <c r="K63" s="95">
        <f t="shared" si="13"/>
        <v>154330.47167677607</v>
      </c>
      <c r="L63" s="95">
        <f t="shared" si="7"/>
        <v>8325877.9747214541</v>
      </c>
      <c r="M63" s="95">
        <f t="shared" si="8"/>
        <v>8379446.9243030259</v>
      </c>
      <c r="N63" s="1"/>
      <c r="O63" s="1">
        <f t="shared" si="14"/>
        <v>8</v>
      </c>
      <c r="P63" s="95">
        <f t="shared" si="15"/>
        <v>12260587.491050761</v>
      </c>
      <c r="Q63" s="95">
        <f t="shared" si="16"/>
        <v>154330.47167677607</v>
      </c>
      <c r="R63" s="95">
        <f t="shared" si="17"/>
        <v>12106257.019373985</v>
      </c>
      <c r="S63" s="95">
        <f t="shared" si="18"/>
        <v>12202794.012914876</v>
      </c>
      <c r="T63" s="1"/>
      <c r="U63" s="1">
        <f t="shared" si="19"/>
        <v>8</v>
      </c>
      <c r="V63" s="95">
        <f t="shared" si="20"/>
        <v>18141211.878930833</v>
      </c>
      <c r="W63" s="95">
        <f t="shared" si="21"/>
        <v>154330.47167677607</v>
      </c>
      <c r="X63" s="95">
        <f t="shared" si="22"/>
        <v>17986881.407254059</v>
      </c>
      <c r="Y63" s="95">
        <f t="shared" si="23"/>
        <v>18157555.200466394</v>
      </c>
      <c r="Z63" s="1"/>
      <c r="AA63" s="1"/>
      <c r="AB63" s="1"/>
      <c r="AC63" s="1"/>
      <c r="AD63" s="1"/>
      <c r="AE63" s="1"/>
      <c r="AF63" s="1"/>
      <c r="AG63" s="1"/>
      <c r="AH63" s="1"/>
    </row>
    <row r="64" spans="2:34" x14ac:dyDescent="0.35">
      <c r="B64" s="1"/>
      <c r="C64" s="1">
        <f t="shared" si="9"/>
        <v>9</v>
      </c>
      <c r="D64" s="40">
        <f t="shared" si="10"/>
        <v>4012047.3682962912</v>
      </c>
      <c r="E64" s="104">
        <f t="shared" si="6"/>
        <v>154959.23312197608</v>
      </c>
      <c r="F64" s="40">
        <f t="shared" si="24"/>
        <v>3857088.135174315</v>
      </c>
      <c r="G64" s="40">
        <f t="shared" si="5"/>
        <v>3872802.3896814566</v>
      </c>
      <c r="H64" s="1"/>
      <c r="I64" s="1">
        <f t="shared" si="11"/>
        <v>9</v>
      </c>
      <c r="J64" s="95">
        <f t="shared" si="12"/>
        <v>8379446.9243030259</v>
      </c>
      <c r="K64" s="95">
        <f t="shared" si="13"/>
        <v>154959.23312197608</v>
      </c>
      <c r="L64" s="95">
        <f t="shared" si="7"/>
        <v>8224487.6911810497</v>
      </c>
      <c r="M64" s="95">
        <f t="shared" si="8"/>
        <v>8277404.2926254608</v>
      </c>
      <c r="N64" s="1"/>
      <c r="O64" s="1">
        <f t="shared" si="14"/>
        <v>9</v>
      </c>
      <c r="P64" s="95">
        <f t="shared" si="15"/>
        <v>12202794.012914876</v>
      </c>
      <c r="Q64" s="95">
        <f t="shared" si="16"/>
        <v>154959.23312197608</v>
      </c>
      <c r="R64" s="95">
        <f t="shared" si="17"/>
        <v>12047834.779792899</v>
      </c>
      <c r="S64" s="95">
        <f t="shared" si="18"/>
        <v>12143905.906191198</v>
      </c>
      <c r="T64" s="1"/>
      <c r="U64" s="1">
        <f t="shared" si="19"/>
        <v>9</v>
      </c>
      <c r="V64" s="95">
        <f t="shared" si="20"/>
        <v>18157555.200466394</v>
      </c>
      <c r="W64" s="95">
        <f t="shared" si="21"/>
        <v>154959.23312197608</v>
      </c>
      <c r="X64" s="95">
        <f t="shared" si="22"/>
        <v>18002595.967344418</v>
      </c>
      <c r="Y64" s="95">
        <f t="shared" si="23"/>
        <v>18173418.872763511</v>
      </c>
      <c r="Z64" s="1"/>
      <c r="AA64" s="1"/>
      <c r="AB64" s="1"/>
      <c r="AC64" s="1"/>
      <c r="AD64" s="1"/>
      <c r="AE64" s="1"/>
      <c r="AF64" s="1"/>
      <c r="AG64" s="1"/>
      <c r="AH64" s="1"/>
    </row>
    <row r="65" spans="2:34" x14ac:dyDescent="0.35">
      <c r="B65" s="1"/>
      <c r="C65" s="1">
        <f t="shared" si="9"/>
        <v>10</v>
      </c>
      <c r="D65" s="40">
        <f t="shared" si="10"/>
        <v>3872802.3896814566</v>
      </c>
      <c r="E65" s="104">
        <f t="shared" si="6"/>
        <v>155590.55621913425</v>
      </c>
      <c r="F65" s="40">
        <f t="shared" si="24"/>
        <v>3717211.8334623221</v>
      </c>
      <c r="G65" s="40">
        <f t="shared" si="5"/>
        <v>3732356.2146018902</v>
      </c>
      <c r="H65" s="1"/>
      <c r="I65" s="1">
        <f t="shared" si="11"/>
        <v>10</v>
      </c>
      <c r="J65" s="95">
        <f t="shared" si="12"/>
        <v>8277404.2926254608</v>
      </c>
      <c r="K65" s="95">
        <f t="shared" si="13"/>
        <v>155590.55621913425</v>
      </c>
      <c r="L65" s="95">
        <f t="shared" si="7"/>
        <v>8121813.7364063263</v>
      </c>
      <c r="M65" s="95">
        <f t="shared" si="8"/>
        <v>8174069.7305342043</v>
      </c>
      <c r="N65" s="1"/>
      <c r="O65" s="1">
        <f t="shared" si="14"/>
        <v>10</v>
      </c>
      <c r="P65" s="95">
        <f t="shared" si="15"/>
        <v>12143905.906191198</v>
      </c>
      <c r="Q65" s="95">
        <f t="shared" si="16"/>
        <v>155590.55621913425</v>
      </c>
      <c r="R65" s="95">
        <f t="shared" si="17"/>
        <v>11988315.349972064</v>
      </c>
      <c r="S65" s="95">
        <f t="shared" si="18"/>
        <v>12083911.860078724</v>
      </c>
      <c r="T65" s="1"/>
      <c r="U65" s="1">
        <f t="shared" si="19"/>
        <v>10</v>
      </c>
      <c r="V65" s="95">
        <f t="shared" si="20"/>
        <v>18173418.872763511</v>
      </c>
      <c r="W65" s="95">
        <f t="shared" si="21"/>
        <v>155590.55621913425</v>
      </c>
      <c r="X65" s="95">
        <f t="shared" si="22"/>
        <v>18017828.316544376</v>
      </c>
      <c r="Y65" s="95">
        <f t="shared" si="23"/>
        <v>18188795.758570932</v>
      </c>
      <c r="Z65" s="1"/>
      <c r="AA65" s="1"/>
      <c r="AB65" s="1"/>
      <c r="AC65" s="1"/>
      <c r="AD65" s="1"/>
      <c r="AE65" s="1"/>
      <c r="AF65" s="1"/>
      <c r="AG65" s="1"/>
      <c r="AH65" s="1"/>
    </row>
    <row r="66" spans="2:34" x14ac:dyDescent="0.35">
      <c r="B66" s="1"/>
      <c r="C66" s="1">
        <f t="shared" si="9"/>
        <v>11</v>
      </c>
      <c r="D66" s="40">
        <f t="shared" si="10"/>
        <v>3732356.2146018902</v>
      </c>
      <c r="E66" s="104">
        <f t="shared" si="6"/>
        <v>156224.45140473769</v>
      </c>
      <c r="F66" s="40">
        <f t="shared" si="24"/>
        <v>3576131.7631971524</v>
      </c>
      <c r="G66" s="40">
        <f t="shared" si="5"/>
        <v>3590701.3666670541</v>
      </c>
      <c r="H66" s="1"/>
      <c r="I66" s="1">
        <f t="shared" si="11"/>
        <v>11</v>
      </c>
      <c r="J66" s="95">
        <f t="shared" si="12"/>
        <v>8174069.7305342043</v>
      </c>
      <c r="K66" s="95">
        <f t="shared" si="13"/>
        <v>156224.45140473769</v>
      </c>
      <c r="L66" s="95">
        <f t="shared" si="7"/>
        <v>8017845.279129467</v>
      </c>
      <c r="M66" s="95">
        <f t="shared" si="8"/>
        <v>8069432.3370727347</v>
      </c>
      <c r="N66" s="1"/>
      <c r="O66" s="1">
        <f t="shared" si="14"/>
        <v>11</v>
      </c>
      <c r="P66" s="95">
        <f t="shared" si="15"/>
        <v>12083911.860078724</v>
      </c>
      <c r="Q66" s="95">
        <f t="shared" si="16"/>
        <v>156224.45140473769</v>
      </c>
      <c r="R66" s="95">
        <f t="shared" si="17"/>
        <v>11927687.408673987</v>
      </c>
      <c r="S66" s="95">
        <f t="shared" si="18"/>
        <v>12022800.463062821</v>
      </c>
      <c r="T66" s="1"/>
      <c r="U66" s="1">
        <f t="shared" si="19"/>
        <v>11</v>
      </c>
      <c r="V66" s="95">
        <f t="shared" si="20"/>
        <v>18188795.758570932</v>
      </c>
      <c r="W66" s="95">
        <f t="shared" si="21"/>
        <v>156224.45140473769</v>
      </c>
      <c r="X66" s="95">
        <f t="shared" si="22"/>
        <v>18032571.307166193</v>
      </c>
      <c r="Y66" s="95">
        <f t="shared" si="23"/>
        <v>18203678.642377995</v>
      </c>
      <c r="Z66" s="1"/>
      <c r="AA66" s="1"/>
      <c r="AB66" s="1"/>
      <c r="AC66" s="1"/>
      <c r="AD66" s="1"/>
      <c r="AE66" s="1"/>
      <c r="AF66" s="1"/>
      <c r="AG66" s="1"/>
      <c r="AH66" s="1"/>
    </row>
    <row r="67" spans="2:34" x14ac:dyDescent="0.35">
      <c r="B67" s="1"/>
      <c r="C67" s="1">
        <f t="shared" si="9"/>
        <v>12</v>
      </c>
      <c r="D67" s="40">
        <f t="shared" si="10"/>
        <v>3590701.3666670541</v>
      </c>
      <c r="E67" s="104">
        <f t="shared" si="6"/>
        <v>156860.92915779314</v>
      </c>
      <c r="F67" s="40">
        <f t="shared" si="24"/>
        <v>3433840.4375092611</v>
      </c>
      <c r="G67" s="40">
        <f t="shared" si="5"/>
        <v>3447830.3285049712</v>
      </c>
      <c r="H67" s="1"/>
      <c r="I67" s="1">
        <f t="shared" si="11"/>
        <v>12</v>
      </c>
      <c r="J67" s="95">
        <f t="shared" si="12"/>
        <v>8069432.3370727347</v>
      </c>
      <c r="K67" s="95">
        <f t="shared" si="13"/>
        <v>156860.92915779314</v>
      </c>
      <c r="L67" s="95">
        <f t="shared" si="7"/>
        <v>7912571.4079149412</v>
      </c>
      <c r="M67" s="95">
        <f t="shared" si="8"/>
        <v>7963481.1306010177</v>
      </c>
      <c r="N67" s="1"/>
      <c r="O67" s="1">
        <f t="shared" si="14"/>
        <v>12</v>
      </c>
      <c r="P67" s="95">
        <f t="shared" si="15"/>
        <v>12022800.463062821</v>
      </c>
      <c r="Q67" s="95">
        <f t="shared" si="16"/>
        <v>156860.92915779314</v>
      </c>
      <c r="R67" s="95">
        <f t="shared" si="17"/>
        <v>11865939.533905027</v>
      </c>
      <c r="S67" s="95">
        <f t="shared" si="18"/>
        <v>11960560.202069268</v>
      </c>
      <c r="T67" s="1"/>
      <c r="U67" s="1">
        <f t="shared" si="19"/>
        <v>12</v>
      </c>
      <c r="V67" s="95">
        <f t="shared" si="20"/>
        <v>18203678.642377995</v>
      </c>
      <c r="W67" s="95">
        <f t="shared" si="21"/>
        <v>156860.92915779314</v>
      </c>
      <c r="X67" s="95">
        <f t="shared" si="22"/>
        <v>18046817.713220201</v>
      </c>
      <c r="Y67" s="95">
        <f t="shared" si="23"/>
        <v>18218060.229629114</v>
      </c>
      <c r="Z67" s="1"/>
      <c r="AA67" s="1"/>
      <c r="AB67" s="1"/>
      <c r="AC67" s="1"/>
      <c r="AD67" s="1"/>
      <c r="AE67" s="1"/>
      <c r="AF67" s="1"/>
      <c r="AG67" s="1"/>
      <c r="AH67" s="1"/>
    </row>
    <row r="68" spans="2:34" x14ac:dyDescent="0.35">
      <c r="B68" s="1"/>
      <c r="C68" s="1">
        <f t="shared" si="9"/>
        <v>13</v>
      </c>
      <c r="D68" s="40">
        <f t="shared" si="10"/>
        <v>3447830.3285049712</v>
      </c>
      <c r="E68" s="104">
        <f t="shared" si="6"/>
        <v>157500.00000000009</v>
      </c>
      <c r="F68" s="40">
        <f t="shared" si="24"/>
        <v>3290330.3285049712</v>
      </c>
      <c r="G68" s="40">
        <f t="shared" si="5"/>
        <v>3303735.5415523928</v>
      </c>
      <c r="H68" s="1"/>
      <c r="I68" s="1">
        <f t="shared" si="11"/>
        <v>13</v>
      </c>
      <c r="J68" s="95">
        <f t="shared" si="12"/>
        <v>7963481.1306010177</v>
      </c>
      <c r="K68" s="95">
        <f t="shared" si="13"/>
        <v>157500.00000000009</v>
      </c>
      <c r="L68" s="95">
        <f t="shared" si="7"/>
        <v>7805981.1306010177</v>
      </c>
      <c r="M68" s="95">
        <f t="shared" si="8"/>
        <v>7856205.0482334234</v>
      </c>
      <c r="N68" s="1"/>
      <c r="O68" s="1">
        <f t="shared" si="14"/>
        <v>13</v>
      </c>
      <c r="P68" s="95">
        <f t="shared" si="15"/>
        <v>11960560.202069268</v>
      </c>
      <c r="Q68" s="95">
        <f t="shared" si="16"/>
        <v>157500.00000000009</v>
      </c>
      <c r="R68" s="95">
        <f t="shared" si="17"/>
        <v>11803060.202069268</v>
      </c>
      <c r="S68" s="95">
        <f t="shared" si="18"/>
        <v>11897179.461611373</v>
      </c>
      <c r="T68" s="1"/>
      <c r="U68" s="1">
        <f t="shared" si="19"/>
        <v>13</v>
      </c>
      <c r="V68" s="95">
        <f t="shared" si="20"/>
        <v>18218060.229629114</v>
      </c>
      <c r="W68" s="95">
        <f t="shared" si="21"/>
        <v>157500.00000000009</v>
      </c>
      <c r="X68" s="95">
        <f t="shared" si="22"/>
        <v>18060560.229629114</v>
      </c>
      <c r="Y68" s="95">
        <f t="shared" si="23"/>
        <v>18231933.145930629</v>
      </c>
      <c r="Z68" s="1"/>
      <c r="AA68" s="1"/>
      <c r="AB68" s="1"/>
      <c r="AC68" s="1"/>
      <c r="AD68" s="1"/>
      <c r="AE68" s="1"/>
      <c r="AF68" s="1"/>
      <c r="AG68" s="1"/>
      <c r="AH68" s="1"/>
    </row>
    <row r="69" spans="2:34" x14ac:dyDescent="0.35">
      <c r="B69" s="1"/>
      <c r="C69" s="1">
        <f t="shared" si="9"/>
        <v>14</v>
      </c>
      <c r="D69" s="40">
        <f t="shared" si="10"/>
        <v>3303735.5415523928</v>
      </c>
      <c r="E69" s="104">
        <f t="shared" si="6"/>
        <v>158141.6744959247</v>
      </c>
      <c r="F69" s="40">
        <f t="shared" si="24"/>
        <v>3145593.867056468</v>
      </c>
      <c r="G69" s="40">
        <f t="shared" si="5"/>
        <v>3158409.405843941</v>
      </c>
      <c r="H69" s="1"/>
      <c r="I69" s="1">
        <f t="shared" si="11"/>
        <v>14</v>
      </c>
      <c r="J69" s="95">
        <f t="shared" si="12"/>
        <v>7856205.0482334234</v>
      </c>
      <c r="K69" s="95">
        <f t="shared" si="13"/>
        <v>158141.6744959247</v>
      </c>
      <c r="L69" s="95">
        <f t="shared" si="7"/>
        <v>7698063.3737374991</v>
      </c>
      <c r="M69" s="95">
        <f t="shared" si="8"/>
        <v>7747592.9452728406</v>
      </c>
      <c r="N69" s="1"/>
      <c r="O69" s="1">
        <f t="shared" si="14"/>
        <v>14</v>
      </c>
      <c r="P69" s="95">
        <f t="shared" si="15"/>
        <v>11897179.461611373</v>
      </c>
      <c r="Q69" s="95">
        <f t="shared" si="16"/>
        <v>158141.6744959247</v>
      </c>
      <c r="R69" s="95">
        <f t="shared" si="17"/>
        <v>11739037.787115449</v>
      </c>
      <c r="S69" s="95">
        <f t="shared" si="18"/>
        <v>11832646.522930115</v>
      </c>
      <c r="T69" s="1"/>
      <c r="U69" s="1">
        <f t="shared" si="19"/>
        <v>14</v>
      </c>
      <c r="V69" s="95">
        <f t="shared" si="20"/>
        <v>18231933.145930629</v>
      </c>
      <c r="W69" s="95">
        <f t="shared" si="21"/>
        <v>158141.6744959247</v>
      </c>
      <c r="X69" s="95">
        <f t="shared" si="22"/>
        <v>18073791.471434705</v>
      </c>
      <c r="Y69" s="95">
        <f t="shared" si="23"/>
        <v>18245289.936249983</v>
      </c>
      <c r="Z69" s="1"/>
      <c r="AA69" s="1"/>
      <c r="AB69" s="1"/>
      <c r="AC69" s="1"/>
      <c r="AD69" s="1"/>
      <c r="AE69" s="1"/>
      <c r="AF69" s="1"/>
      <c r="AG69" s="1"/>
      <c r="AH69" s="1"/>
    </row>
    <row r="70" spans="2:34" x14ac:dyDescent="0.35">
      <c r="B70" s="1"/>
      <c r="C70" s="1">
        <f t="shared" si="9"/>
        <v>15</v>
      </c>
      <c r="D70" s="40">
        <f t="shared" si="10"/>
        <v>3158409.405843941</v>
      </c>
      <c r="E70" s="104">
        <f t="shared" si="6"/>
        <v>158785.96325317453</v>
      </c>
      <c r="F70" s="40">
        <f t="shared" si="24"/>
        <v>2999623.4425907666</v>
      </c>
      <c r="G70" s="40">
        <f t="shared" si="5"/>
        <v>3011844.2798002148</v>
      </c>
      <c r="H70" s="1"/>
      <c r="I70" s="1">
        <f t="shared" si="11"/>
        <v>15</v>
      </c>
      <c r="J70" s="95">
        <f t="shared" si="12"/>
        <v>7747592.9452728406</v>
      </c>
      <c r="K70" s="95">
        <f t="shared" si="13"/>
        <v>158785.96325317453</v>
      </c>
      <c r="L70" s="95">
        <f t="shared" si="7"/>
        <v>7588806.9820196657</v>
      </c>
      <c r="M70" s="95">
        <f t="shared" si="8"/>
        <v>7637633.5946409842</v>
      </c>
      <c r="N70" s="1"/>
      <c r="O70" s="1">
        <f t="shared" si="14"/>
        <v>15</v>
      </c>
      <c r="P70" s="95">
        <f t="shared" si="15"/>
        <v>11832646.522930115</v>
      </c>
      <c r="Q70" s="95">
        <f t="shared" si="16"/>
        <v>158785.96325317453</v>
      </c>
      <c r="R70" s="95">
        <f t="shared" si="17"/>
        <v>11673860.559676941</v>
      </c>
      <c r="S70" s="95">
        <f t="shared" si="18"/>
        <v>11766949.563127246</v>
      </c>
      <c r="T70" s="1"/>
      <c r="U70" s="1">
        <f t="shared" si="19"/>
        <v>15</v>
      </c>
      <c r="V70" s="95">
        <f t="shared" si="20"/>
        <v>18245289.936249983</v>
      </c>
      <c r="W70" s="95">
        <f t="shared" si="21"/>
        <v>158785.96325317453</v>
      </c>
      <c r="X70" s="95">
        <f t="shared" si="22"/>
        <v>18086503.972996809</v>
      </c>
      <c r="Y70" s="95">
        <f t="shared" si="23"/>
        <v>18258123.06410709</v>
      </c>
      <c r="Z70" s="1"/>
      <c r="AA70" s="1"/>
      <c r="AB70" s="1"/>
      <c r="AC70" s="1"/>
      <c r="AD70" s="1"/>
      <c r="AE70" s="1"/>
      <c r="AF70" s="1"/>
      <c r="AG70" s="1"/>
      <c r="AH70" s="1"/>
    </row>
    <row r="71" spans="2:34" x14ac:dyDescent="0.35">
      <c r="B71" s="1"/>
      <c r="C71" s="1">
        <f t="shared" si="9"/>
        <v>16</v>
      </c>
      <c r="D71" s="40">
        <f t="shared" si="10"/>
        <v>3011844.2798002148</v>
      </c>
      <c r="E71" s="104">
        <f t="shared" si="6"/>
        <v>159432.87692257381</v>
      </c>
      <c r="F71" s="40">
        <f t="shared" si="24"/>
        <v>2852411.4028776409</v>
      </c>
      <c r="G71" s="40">
        <f t="shared" si="5"/>
        <v>2864032.4800148546</v>
      </c>
      <c r="H71" s="1"/>
      <c r="I71" s="1">
        <f t="shared" si="11"/>
        <v>16</v>
      </c>
      <c r="J71" s="95">
        <f t="shared" si="12"/>
        <v>7637633.5946409842</v>
      </c>
      <c r="K71" s="95">
        <f t="shared" si="13"/>
        <v>159432.87692257381</v>
      </c>
      <c r="L71" s="95">
        <f t="shared" si="7"/>
        <v>7478200.7177184103</v>
      </c>
      <c r="M71" s="95">
        <f t="shared" si="8"/>
        <v>7526315.6863048598</v>
      </c>
      <c r="N71" s="1"/>
      <c r="O71" s="1">
        <f t="shared" si="14"/>
        <v>16</v>
      </c>
      <c r="P71" s="95">
        <f t="shared" si="15"/>
        <v>11766949.563127246</v>
      </c>
      <c r="Q71" s="95">
        <f t="shared" si="16"/>
        <v>159432.87692257381</v>
      </c>
      <c r="R71" s="95">
        <f t="shared" si="17"/>
        <v>11607516.686204672</v>
      </c>
      <c r="S71" s="95">
        <f t="shared" si="18"/>
        <v>11700076.654291311</v>
      </c>
      <c r="T71" s="1"/>
      <c r="U71" s="1">
        <f t="shared" si="19"/>
        <v>16</v>
      </c>
      <c r="V71" s="95">
        <f t="shared" si="20"/>
        <v>18258123.06410709</v>
      </c>
      <c r="W71" s="95">
        <f t="shared" si="21"/>
        <v>159432.87692257381</v>
      </c>
      <c r="X71" s="95">
        <f t="shared" si="22"/>
        <v>18098690.187184516</v>
      </c>
      <c r="Y71" s="95">
        <f t="shared" si="23"/>
        <v>18270424.910757881</v>
      </c>
      <c r="Z71" s="1"/>
      <c r="AA71" s="1"/>
      <c r="AB71" s="1"/>
      <c r="AC71" s="1"/>
      <c r="AD71" s="1"/>
      <c r="AE71" s="1"/>
      <c r="AF71" s="1"/>
      <c r="AG71" s="1"/>
      <c r="AH71" s="1"/>
    </row>
    <row r="72" spans="2:34" x14ac:dyDescent="0.35">
      <c r="B72" s="1"/>
      <c r="C72" s="1">
        <f t="shared" si="9"/>
        <v>17</v>
      </c>
      <c r="D72" s="40">
        <f t="shared" si="10"/>
        <v>2864032.4800148546</v>
      </c>
      <c r="E72" s="104">
        <f t="shared" si="6"/>
        <v>160082.42619833956</v>
      </c>
      <c r="F72" s="40">
        <f t="shared" si="24"/>
        <v>2703950.053816515</v>
      </c>
      <c r="G72" s="40">
        <f t="shared" si="5"/>
        <v>2714966.281040566</v>
      </c>
      <c r="H72" s="1"/>
      <c r="I72" s="1">
        <f t="shared" si="11"/>
        <v>17</v>
      </c>
      <c r="J72" s="95">
        <f t="shared" si="12"/>
        <v>7526315.6863048598</v>
      </c>
      <c r="K72" s="95">
        <f t="shared" si="13"/>
        <v>160082.42619833956</v>
      </c>
      <c r="L72" s="95">
        <f t="shared" si="7"/>
        <v>7366233.2601065207</v>
      </c>
      <c r="M72" s="95">
        <f t="shared" si="8"/>
        <v>7413627.8266993547</v>
      </c>
      <c r="N72" s="1"/>
      <c r="O72" s="1">
        <f t="shared" si="14"/>
        <v>17</v>
      </c>
      <c r="P72" s="95">
        <f t="shared" si="15"/>
        <v>11700076.654291311</v>
      </c>
      <c r="Q72" s="95">
        <f t="shared" si="16"/>
        <v>160082.42619833956</v>
      </c>
      <c r="R72" s="95">
        <f t="shared" si="17"/>
        <v>11539994.228092972</v>
      </c>
      <c r="S72" s="95">
        <f t="shared" si="18"/>
        <v>11632015.762616524</v>
      </c>
      <c r="T72" s="1"/>
      <c r="U72" s="1">
        <f t="shared" si="19"/>
        <v>17</v>
      </c>
      <c r="V72" s="95">
        <f t="shared" si="20"/>
        <v>18270424.910757881</v>
      </c>
      <c r="W72" s="95">
        <f t="shared" si="21"/>
        <v>160082.42619833956</v>
      </c>
      <c r="X72" s="95">
        <f t="shared" si="22"/>
        <v>18110342.48455954</v>
      </c>
      <c r="Y72" s="95">
        <f t="shared" si="23"/>
        <v>18282187.774369907</v>
      </c>
      <c r="Z72" s="1"/>
      <c r="AA72" s="1"/>
      <c r="AB72" s="1"/>
      <c r="AC72" s="1"/>
      <c r="AD72" s="1"/>
      <c r="AE72" s="1"/>
      <c r="AF72" s="1"/>
      <c r="AG72" s="1"/>
      <c r="AH72" s="1"/>
    </row>
    <row r="73" spans="2:34" x14ac:dyDescent="0.35">
      <c r="B73" s="1"/>
      <c r="C73" s="1">
        <f t="shared" si="9"/>
        <v>18</v>
      </c>
      <c r="D73" s="40">
        <f t="shared" si="10"/>
        <v>2714966.281040566</v>
      </c>
      <c r="E73" s="104">
        <f t="shared" si="6"/>
        <v>160734.62181825834</v>
      </c>
      <c r="F73" s="40">
        <f t="shared" si="24"/>
        <v>2554231.6592223076</v>
      </c>
      <c r="G73" s="40">
        <f t="shared" si="5"/>
        <v>2564637.9151740926</v>
      </c>
      <c r="H73" s="1"/>
      <c r="I73" s="1">
        <f t="shared" si="11"/>
        <v>18</v>
      </c>
      <c r="J73" s="95">
        <f t="shared" si="12"/>
        <v>7413627.8266993547</v>
      </c>
      <c r="K73" s="95">
        <f t="shared" si="13"/>
        <v>160734.62181825834</v>
      </c>
      <c r="L73" s="95">
        <f t="shared" si="7"/>
        <v>7252893.2048810963</v>
      </c>
      <c r="M73" s="95">
        <f t="shared" si="8"/>
        <v>7299558.5381459408</v>
      </c>
      <c r="N73" s="1"/>
      <c r="O73" s="1">
        <f t="shared" si="14"/>
        <v>18</v>
      </c>
      <c r="P73" s="95">
        <f t="shared" si="15"/>
        <v>11632015.762616524</v>
      </c>
      <c r="Q73" s="95">
        <f t="shared" si="16"/>
        <v>160734.62181825834</v>
      </c>
      <c r="R73" s="95">
        <f t="shared" si="17"/>
        <v>11471281.140798267</v>
      </c>
      <c r="S73" s="95">
        <f t="shared" si="18"/>
        <v>11562754.747514429</v>
      </c>
      <c r="T73" s="1"/>
      <c r="U73" s="1">
        <f t="shared" si="19"/>
        <v>18</v>
      </c>
      <c r="V73" s="95">
        <f t="shared" si="20"/>
        <v>18282187.774369907</v>
      </c>
      <c r="W73" s="95">
        <f t="shared" si="21"/>
        <v>160734.62181825834</v>
      </c>
      <c r="X73" s="95">
        <f t="shared" si="22"/>
        <v>18121453.152551647</v>
      </c>
      <c r="Y73" s="95">
        <f t="shared" si="23"/>
        <v>18293403.869189955</v>
      </c>
      <c r="Z73" s="1"/>
      <c r="AA73" s="1"/>
      <c r="AB73" s="1"/>
      <c r="AC73" s="1"/>
      <c r="AD73" s="1"/>
      <c r="AE73" s="1"/>
      <c r="AF73" s="1"/>
      <c r="AG73" s="1"/>
      <c r="AH73" s="1"/>
    </row>
    <row r="74" spans="2:34" x14ac:dyDescent="0.35">
      <c r="B74" s="1"/>
      <c r="C74" s="1">
        <f t="shared" si="9"/>
        <v>19</v>
      </c>
      <c r="D74" s="40">
        <f t="shared" si="10"/>
        <v>2564637.9151740926</v>
      </c>
      <c r="E74" s="104">
        <f t="shared" si="6"/>
        <v>161389.47456386383</v>
      </c>
      <c r="F74" s="40">
        <f t="shared" si="24"/>
        <v>2403248.440610229</v>
      </c>
      <c r="G74" s="40">
        <f t="shared" si="5"/>
        <v>2413039.5722401352</v>
      </c>
      <c r="H74" s="1"/>
      <c r="I74" s="1">
        <f t="shared" si="11"/>
        <v>19</v>
      </c>
      <c r="J74" s="95">
        <f t="shared" si="12"/>
        <v>7299558.5381459408</v>
      </c>
      <c r="K74" s="95">
        <f t="shared" si="13"/>
        <v>161389.47456386383</v>
      </c>
      <c r="L74" s="95">
        <f t="shared" si="7"/>
        <v>7138169.0635820767</v>
      </c>
      <c r="M74" s="95">
        <f t="shared" si="8"/>
        <v>7184096.2582674585</v>
      </c>
      <c r="N74" s="1"/>
      <c r="O74" s="1">
        <f t="shared" si="14"/>
        <v>19</v>
      </c>
      <c r="P74" s="95">
        <f t="shared" si="15"/>
        <v>11562754.747514429</v>
      </c>
      <c r="Q74" s="95">
        <f t="shared" si="16"/>
        <v>161389.47456386383</v>
      </c>
      <c r="R74" s="95">
        <f t="shared" si="17"/>
        <v>11401365.272950565</v>
      </c>
      <c r="S74" s="95">
        <f t="shared" si="18"/>
        <v>11492281.360718301</v>
      </c>
      <c r="T74" s="1"/>
      <c r="U74" s="1">
        <f t="shared" si="19"/>
        <v>19</v>
      </c>
      <c r="V74" s="95">
        <f t="shared" si="20"/>
        <v>18293403.869189955</v>
      </c>
      <c r="W74" s="95">
        <f t="shared" si="21"/>
        <v>161389.47456386383</v>
      </c>
      <c r="X74" s="95">
        <f t="shared" si="22"/>
        <v>18132014.394626092</v>
      </c>
      <c r="Y74" s="95">
        <f t="shared" si="23"/>
        <v>18304065.324703578</v>
      </c>
      <c r="Z74" s="1"/>
      <c r="AA74" s="1"/>
      <c r="AB74" s="1"/>
      <c r="AC74" s="1"/>
      <c r="AD74" s="1"/>
      <c r="AE74" s="1"/>
      <c r="AF74" s="1"/>
      <c r="AG74" s="1"/>
      <c r="AH74" s="1"/>
    </row>
    <row r="75" spans="2:34" x14ac:dyDescent="0.35">
      <c r="B75" s="1"/>
      <c r="C75" s="1">
        <f t="shared" si="9"/>
        <v>20</v>
      </c>
      <c r="D75" s="40">
        <f t="shared" si="10"/>
        <v>2413039.5722401352</v>
      </c>
      <c r="E75" s="104">
        <f t="shared" si="6"/>
        <v>162046.99526061499</v>
      </c>
      <c r="F75" s="40">
        <f t="shared" si="24"/>
        <v>2250992.5769795203</v>
      </c>
      <c r="G75" s="40">
        <f t="shared" si="5"/>
        <v>2260163.3993742084</v>
      </c>
      <c r="H75" s="1"/>
      <c r="I75" s="1">
        <f t="shared" si="11"/>
        <v>20</v>
      </c>
      <c r="J75" s="95">
        <f t="shared" si="12"/>
        <v>7184096.2582674585</v>
      </c>
      <c r="K75" s="95">
        <f t="shared" si="13"/>
        <v>162046.99526061499</v>
      </c>
      <c r="L75" s="95">
        <f t="shared" si="7"/>
        <v>7022049.2630068436</v>
      </c>
      <c r="M75" s="95">
        <f t="shared" si="8"/>
        <v>7067229.3393989569</v>
      </c>
      <c r="N75" s="1"/>
      <c r="O75" s="1">
        <f t="shared" si="14"/>
        <v>20</v>
      </c>
      <c r="P75" s="95">
        <f t="shared" si="15"/>
        <v>11492281.360718301</v>
      </c>
      <c r="Q75" s="95">
        <f t="shared" si="16"/>
        <v>162046.99526061499</v>
      </c>
      <c r="R75" s="95">
        <f t="shared" si="17"/>
        <v>11330234.365457686</v>
      </c>
      <c r="S75" s="95">
        <f t="shared" si="18"/>
        <v>11420583.245380236</v>
      </c>
      <c r="T75" s="1"/>
      <c r="U75" s="1">
        <f t="shared" si="19"/>
        <v>20</v>
      </c>
      <c r="V75" s="95">
        <f t="shared" si="20"/>
        <v>18304065.324703578</v>
      </c>
      <c r="W75" s="95">
        <f t="shared" si="21"/>
        <v>162046.99526061499</v>
      </c>
      <c r="X75" s="95">
        <f t="shared" si="22"/>
        <v>18142018.329442963</v>
      </c>
      <c r="Y75" s="95">
        <f t="shared" si="23"/>
        <v>18314164.184786458</v>
      </c>
      <c r="Z75" s="1"/>
      <c r="AA75" s="1"/>
      <c r="AB75" s="1"/>
      <c r="AC75" s="1"/>
      <c r="AD75" s="1"/>
      <c r="AE75" s="1"/>
      <c r="AF75" s="1"/>
      <c r="AG75" s="1"/>
      <c r="AH75" s="1"/>
    </row>
    <row r="76" spans="2:34" x14ac:dyDescent="0.35">
      <c r="B76" s="1"/>
      <c r="C76" s="1">
        <f t="shared" si="9"/>
        <v>21</v>
      </c>
      <c r="D76" s="40">
        <f t="shared" si="10"/>
        <v>2260163.3993742084</v>
      </c>
      <c r="E76" s="104">
        <f t="shared" si="6"/>
        <v>162707.19477807501</v>
      </c>
      <c r="F76" s="40">
        <f t="shared" si="24"/>
        <v>2097456.2045961334</v>
      </c>
      <c r="G76" s="40">
        <f t="shared" si="5"/>
        <v>2106001.5008044392</v>
      </c>
      <c r="H76" s="1"/>
      <c r="I76" s="1">
        <f t="shared" si="11"/>
        <v>21</v>
      </c>
      <c r="J76" s="95">
        <f t="shared" si="12"/>
        <v>7067229.3393989569</v>
      </c>
      <c r="K76" s="95">
        <f t="shared" si="13"/>
        <v>162707.19477807501</v>
      </c>
      <c r="L76" s="95">
        <f t="shared" si="7"/>
        <v>6904522.1446208814</v>
      </c>
      <c r="M76" s="95">
        <f t="shared" si="8"/>
        <v>6948946.0479945578</v>
      </c>
      <c r="N76" s="1"/>
      <c r="O76" s="1">
        <f t="shared" si="14"/>
        <v>21</v>
      </c>
      <c r="P76" s="95">
        <f t="shared" si="15"/>
        <v>11420583.245380236</v>
      </c>
      <c r="Q76" s="95">
        <f t="shared" si="16"/>
        <v>162707.19477807501</v>
      </c>
      <c r="R76" s="95">
        <f t="shared" si="17"/>
        <v>11257876.05060216</v>
      </c>
      <c r="S76" s="95">
        <f t="shared" si="18"/>
        <v>11347647.935160855</v>
      </c>
      <c r="T76" s="1"/>
      <c r="U76" s="1">
        <f t="shared" si="19"/>
        <v>21</v>
      </c>
      <c r="V76" s="95">
        <f t="shared" si="20"/>
        <v>18314164.184786458</v>
      </c>
      <c r="W76" s="95">
        <f t="shared" si="21"/>
        <v>162707.19477807501</v>
      </c>
      <c r="X76" s="95">
        <f t="shared" si="22"/>
        <v>18151456.990008384</v>
      </c>
      <c r="Y76" s="95">
        <f t="shared" si="23"/>
        <v>18323692.406847563</v>
      </c>
      <c r="Z76" s="1"/>
      <c r="AA76" s="1"/>
      <c r="AB76" s="1"/>
      <c r="AC76" s="1"/>
      <c r="AD76" s="1"/>
      <c r="AE76" s="1"/>
      <c r="AF76" s="1"/>
      <c r="AG76" s="1"/>
      <c r="AH76" s="1"/>
    </row>
    <row r="77" spans="2:34" x14ac:dyDescent="0.35">
      <c r="B77" s="1"/>
      <c r="C77" s="1">
        <f t="shared" si="9"/>
        <v>22</v>
      </c>
      <c r="D77" s="40">
        <f t="shared" si="10"/>
        <v>2106001.5008044392</v>
      </c>
      <c r="E77" s="104">
        <f t="shared" si="6"/>
        <v>163370.08403009106</v>
      </c>
      <c r="F77" s="40">
        <f t="shared" si="24"/>
        <v>1942631.4167743481</v>
      </c>
      <c r="G77" s="40">
        <f t="shared" si="5"/>
        <v>1950545.9376322909</v>
      </c>
      <c r="H77" s="1"/>
      <c r="I77" s="1">
        <f t="shared" si="11"/>
        <v>22</v>
      </c>
      <c r="J77" s="95">
        <f t="shared" si="12"/>
        <v>6948946.0479945578</v>
      </c>
      <c r="K77" s="95">
        <f t="shared" si="13"/>
        <v>163370.08403009106</v>
      </c>
      <c r="L77" s="95">
        <f t="shared" si="7"/>
        <v>6785575.9639644669</v>
      </c>
      <c r="M77" s="95">
        <f t="shared" si="8"/>
        <v>6829234.5640303297</v>
      </c>
      <c r="N77" s="1"/>
      <c r="O77" s="1">
        <f t="shared" si="14"/>
        <v>22</v>
      </c>
      <c r="P77" s="95">
        <f t="shared" si="15"/>
        <v>11347647.935160855</v>
      </c>
      <c r="Q77" s="95">
        <f t="shared" si="16"/>
        <v>163370.08403009106</v>
      </c>
      <c r="R77" s="95">
        <f t="shared" si="17"/>
        <v>11184277.851130763</v>
      </c>
      <c r="S77" s="95">
        <f t="shared" si="18"/>
        <v>11273462.853311557</v>
      </c>
      <c r="T77" s="1"/>
      <c r="U77" s="1">
        <f t="shared" si="19"/>
        <v>22</v>
      </c>
      <c r="V77" s="95">
        <f t="shared" si="20"/>
        <v>18323692.406847563</v>
      </c>
      <c r="W77" s="95">
        <f t="shared" si="21"/>
        <v>163370.08403009106</v>
      </c>
      <c r="X77" s="95">
        <f t="shared" si="22"/>
        <v>18160322.322817471</v>
      </c>
      <c r="Y77" s="95">
        <f t="shared" si="23"/>
        <v>18332641.86096397</v>
      </c>
      <c r="Z77" s="1"/>
      <c r="AA77" s="1"/>
      <c r="AB77" s="1"/>
      <c r="AC77" s="1"/>
      <c r="AD77" s="1"/>
      <c r="AE77" s="1"/>
      <c r="AF77" s="1"/>
      <c r="AG77" s="1"/>
      <c r="AH77" s="1"/>
    </row>
    <row r="78" spans="2:34" x14ac:dyDescent="0.35">
      <c r="B78" s="1"/>
      <c r="C78" s="1">
        <f t="shared" si="9"/>
        <v>23</v>
      </c>
      <c r="D78" s="40">
        <f t="shared" si="10"/>
        <v>1950545.9376322909</v>
      </c>
      <c r="E78" s="104">
        <f t="shared" si="6"/>
        <v>164035.67397497469</v>
      </c>
      <c r="F78" s="40">
        <f t="shared" si="24"/>
        <v>1786510.2636573161</v>
      </c>
      <c r="G78" s="40">
        <f t="shared" si="5"/>
        <v>1793788.7276122142</v>
      </c>
      <c r="H78" s="1"/>
      <c r="I78" s="1">
        <f t="shared" si="11"/>
        <v>23</v>
      </c>
      <c r="J78" s="95">
        <f t="shared" si="12"/>
        <v>6829234.5640303297</v>
      </c>
      <c r="K78" s="95">
        <f t="shared" si="13"/>
        <v>164035.67397497469</v>
      </c>
      <c r="L78" s="95">
        <f t="shared" si="7"/>
        <v>6665198.8900553547</v>
      </c>
      <c r="M78" s="95">
        <f t="shared" si="8"/>
        <v>6708082.9804031327</v>
      </c>
      <c r="N78" s="1"/>
      <c r="O78" s="1">
        <f t="shared" si="14"/>
        <v>23</v>
      </c>
      <c r="P78" s="95">
        <f t="shared" si="15"/>
        <v>11273462.853311557</v>
      </c>
      <c r="Q78" s="95">
        <f t="shared" si="16"/>
        <v>164035.67397497469</v>
      </c>
      <c r="R78" s="95">
        <f t="shared" si="17"/>
        <v>11109427.179336583</v>
      </c>
      <c r="S78" s="95">
        <f t="shared" si="18"/>
        <v>11198015.311749293</v>
      </c>
      <c r="T78" s="1"/>
      <c r="U78" s="1">
        <f t="shared" si="19"/>
        <v>23</v>
      </c>
      <c r="V78" s="95">
        <f t="shared" si="20"/>
        <v>18332641.86096397</v>
      </c>
      <c r="W78" s="95">
        <f t="shared" si="21"/>
        <v>164035.67397497469</v>
      </c>
      <c r="X78" s="95">
        <f t="shared" si="22"/>
        <v>18168606.186988994</v>
      </c>
      <c r="Y78" s="95">
        <f t="shared" si="23"/>
        <v>18341004.329007316</v>
      </c>
      <c r="Z78" s="1"/>
      <c r="AA78" s="1"/>
      <c r="AB78" s="1"/>
      <c r="AC78" s="1"/>
      <c r="AD78" s="1"/>
      <c r="AE78" s="1"/>
      <c r="AF78" s="1"/>
      <c r="AG78" s="1"/>
      <c r="AH78" s="1"/>
    </row>
    <row r="79" spans="2:34" x14ac:dyDescent="0.35">
      <c r="B79" s="1"/>
      <c r="C79" s="1">
        <f t="shared" si="9"/>
        <v>24</v>
      </c>
      <c r="D79" s="40">
        <f t="shared" si="10"/>
        <v>1793788.7276122142</v>
      </c>
      <c r="E79" s="104">
        <f t="shared" si="6"/>
        <v>164703.97561568292</v>
      </c>
      <c r="F79" s="40">
        <f t="shared" si="24"/>
        <v>1629084.7519965312</v>
      </c>
      <c r="G79" s="40">
        <f t="shared" si="5"/>
        <v>1635721.844930219</v>
      </c>
      <c r="H79" s="1"/>
      <c r="I79" s="1">
        <f t="shared" si="11"/>
        <v>24</v>
      </c>
      <c r="J79" s="95">
        <f t="shared" si="12"/>
        <v>6708082.9804031327</v>
      </c>
      <c r="K79" s="95">
        <f t="shared" si="13"/>
        <v>164703.97561568292</v>
      </c>
      <c r="L79" s="95">
        <f t="shared" si="7"/>
        <v>6543379.0047874497</v>
      </c>
      <c r="M79" s="95">
        <f t="shared" si="8"/>
        <v>6585479.3023254164</v>
      </c>
      <c r="N79" s="1"/>
      <c r="O79" s="1">
        <f t="shared" si="14"/>
        <v>24</v>
      </c>
      <c r="P79" s="95">
        <f t="shared" si="15"/>
        <v>11198015.311749293</v>
      </c>
      <c r="Q79" s="95">
        <f t="shared" si="16"/>
        <v>164703.97561568292</v>
      </c>
      <c r="R79" s="95">
        <f t="shared" si="17"/>
        <v>11033311.33613361</v>
      </c>
      <c r="S79" s="95">
        <f t="shared" si="18"/>
        <v>11121292.510123756</v>
      </c>
      <c r="T79" s="1"/>
      <c r="U79" s="1">
        <f t="shared" si="19"/>
        <v>24</v>
      </c>
      <c r="V79" s="95">
        <f t="shared" si="20"/>
        <v>18341004.329007316</v>
      </c>
      <c r="W79" s="95">
        <f t="shared" si="21"/>
        <v>164703.97561568292</v>
      </c>
      <c r="X79" s="95">
        <f t="shared" si="22"/>
        <v>18176300.353391632</v>
      </c>
      <c r="Y79" s="95">
        <f t="shared" si="23"/>
        <v>18348771.503761753</v>
      </c>
      <c r="Z79" s="1"/>
      <c r="AA79" s="1"/>
      <c r="AB79" s="1"/>
      <c r="AC79" s="1"/>
      <c r="AD79" s="1"/>
      <c r="AE79" s="1"/>
      <c r="AF79" s="1"/>
      <c r="AG79" s="1"/>
      <c r="AH79" s="1"/>
    </row>
    <row r="80" spans="2:34" x14ac:dyDescent="0.35">
      <c r="B80" s="1"/>
      <c r="C80" s="1">
        <f t="shared" si="9"/>
        <v>25</v>
      </c>
      <c r="D80" s="40">
        <f t="shared" si="10"/>
        <v>1635721.844930219</v>
      </c>
      <c r="E80" s="104">
        <f t="shared" si="6"/>
        <v>165375.0000000002</v>
      </c>
      <c r="F80" s="40">
        <f t="shared" si="24"/>
        <v>1470346.8449302188</v>
      </c>
      <c r="G80" s="40">
        <f t="shared" si="5"/>
        <v>1476337.2199813612</v>
      </c>
      <c r="H80" s="1"/>
      <c r="I80" s="1">
        <f t="shared" si="11"/>
        <v>25</v>
      </c>
      <c r="J80" s="95">
        <f t="shared" si="12"/>
        <v>6585479.3023254164</v>
      </c>
      <c r="K80" s="95">
        <f t="shared" si="13"/>
        <v>165375.0000000002</v>
      </c>
      <c r="L80" s="95">
        <f t="shared" si="7"/>
        <v>6420104.3023254164</v>
      </c>
      <c r="M80" s="95">
        <f t="shared" si="8"/>
        <v>6461411.4467159407</v>
      </c>
      <c r="N80" s="1"/>
      <c r="O80" s="1">
        <f t="shared" si="14"/>
        <v>25</v>
      </c>
      <c r="P80" s="95">
        <f t="shared" si="15"/>
        <v>11121292.510123756</v>
      </c>
      <c r="Q80" s="95">
        <f t="shared" si="16"/>
        <v>165375.0000000002</v>
      </c>
      <c r="R80" s="95">
        <f t="shared" si="17"/>
        <v>10955917.510123756</v>
      </c>
      <c r="S80" s="95">
        <f t="shared" si="18"/>
        <v>11043281.534876969</v>
      </c>
      <c r="T80" s="1"/>
      <c r="U80" s="1">
        <f t="shared" si="19"/>
        <v>25</v>
      </c>
      <c r="V80" s="95">
        <f t="shared" si="20"/>
        <v>18348771.503761753</v>
      </c>
      <c r="W80" s="95">
        <f t="shared" si="21"/>
        <v>165375.0000000002</v>
      </c>
      <c r="X80" s="95">
        <f t="shared" si="22"/>
        <v>18183396.503761753</v>
      </c>
      <c r="Y80" s="95">
        <f t="shared" si="23"/>
        <v>18355934.988033369</v>
      </c>
      <c r="Z80" s="1"/>
      <c r="AA80" s="1"/>
      <c r="AB80" s="1"/>
      <c r="AC80" s="1"/>
      <c r="AD80" s="1"/>
      <c r="AE80" s="1"/>
      <c r="AF80" s="1"/>
      <c r="AG80" s="1"/>
      <c r="AH80" s="1"/>
    </row>
    <row r="81" spans="2:34" x14ac:dyDescent="0.35">
      <c r="B81" s="1"/>
      <c r="C81" s="1">
        <f t="shared" si="9"/>
        <v>26</v>
      </c>
      <c r="D81" s="40">
        <f t="shared" si="10"/>
        <v>1476337.2199813612</v>
      </c>
      <c r="E81" s="104">
        <f t="shared" si="6"/>
        <v>166048.75822072107</v>
      </c>
      <c r="F81" s="40">
        <f t="shared" si="24"/>
        <v>1310288.4617606401</v>
      </c>
      <c r="G81" s="40">
        <f t="shared" si="5"/>
        <v>1315626.7391461392</v>
      </c>
      <c r="H81" s="1"/>
      <c r="I81" s="1">
        <f t="shared" si="11"/>
        <v>26</v>
      </c>
      <c r="J81" s="95">
        <f t="shared" si="12"/>
        <v>6461411.4467159407</v>
      </c>
      <c r="K81" s="95">
        <f t="shared" si="13"/>
        <v>166048.75822072107</v>
      </c>
      <c r="L81" s="95">
        <f t="shared" si="7"/>
        <v>6295362.6884952197</v>
      </c>
      <c r="M81" s="95">
        <f t="shared" si="8"/>
        <v>6335867.24158639</v>
      </c>
      <c r="N81" s="1"/>
      <c r="O81" s="1">
        <f t="shared" si="14"/>
        <v>26</v>
      </c>
      <c r="P81" s="95">
        <f t="shared" si="15"/>
        <v>11043281.534876969</v>
      </c>
      <c r="Q81" s="95">
        <f t="shared" si="16"/>
        <v>166048.75822072107</v>
      </c>
      <c r="R81" s="95">
        <f t="shared" si="17"/>
        <v>10877232.776656248</v>
      </c>
      <c r="S81" s="95">
        <f t="shared" si="18"/>
        <v>10963969.35829518</v>
      </c>
      <c r="T81" s="1"/>
      <c r="U81" s="1">
        <f t="shared" si="19"/>
        <v>26</v>
      </c>
      <c r="V81" s="95">
        <f t="shared" si="20"/>
        <v>18355934.988033369</v>
      </c>
      <c r="W81" s="95">
        <f t="shared" si="21"/>
        <v>166048.75822072107</v>
      </c>
      <c r="X81" s="95">
        <f t="shared" si="22"/>
        <v>18189886.229812648</v>
      </c>
      <c r="Y81" s="95">
        <f t="shared" si="23"/>
        <v>18362486.293750964</v>
      </c>
      <c r="Z81" s="1"/>
      <c r="AA81" s="1"/>
      <c r="AB81" s="1"/>
      <c r="AC81" s="1"/>
      <c r="AD81" s="1"/>
      <c r="AE81" s="1"/>
      <c r="AF81" s="1"/>
      <c r="AG81" s="1"/>
      <c r="AH81" s="1"/>
    </row>
    <row r="82" spans="2:34" x14ac:dyDescent="0.35">
      <c r="B82" s="1"/>
      <c r="C82" s="1">
        <f t="shared" si="9"/>
        <v>27</v>
      </c>
      <c r="D82" s="40">
        <f t="shared" si="10"/>
        <v>1315626.7391461392</v>
      </c>
      <c r="E82" s="104">
        <f t="shared" si="6"/>
        <v>166725.26141583337</v>
      </c>
      <c r="F82" s="40">
        <f t="shared" si="24"/>
        <v>1148901.4777303059</v>
      </c>
      <c r="G82" s="40">
        <f t="shared" si="5"/>
        <v>1153582.2445657956</v>
      </c>
      <c r="H82" s="1"/>
      <c r="I82" s="1">
        <f t="shared" si="11"/>
        <v>27</v>
      </c>
      <c r="J82" s="95">
        <f t="shared" si="12"/>
        <v>6335867.24158639</v>
      </c>
      <c r="K82" s="95">
        <f t="shared" si="13"/>
        <v>166725.26141583337</v>
      </c>
      <c r="L82" s="95">
        <f t="shared" si="7"/>
        <v>6169141.9801705563</v>
      </c>
      <c r="M82" s="95">
        <f t="shared" si="8"/>
        <v>6208834.4254238596</v>
      </c>
      <c r="N82" s="1"/>
      <c r="O82" s="1">
        <f t="shared" si="14"/>
        <v>27</v>
      </c>
      <c r="P82" s="95">
        <f t="shared" si="15"/>
        <v>10963969.35829518</v>
      </c>
      <c r="Q82" s="95">
        <f t="shared" si="16"/>
        <v>166725.26141583337</v>
      </c>
      <c r="R82" s="95">
        <f t="shared" si="17"/>
        <v>10797244.096879346</v>
      </c>
      <c r="S82" s="95">
        <f t="shared" si="18"/>
        <v>10883342.837553015</v>
      </c>
      <c r="T82" s="1"/>
      <c r="U82" s="1">
        <f t="shared" si="19"/>
        <v>27</v>
      </c>
      <c r="V82" s="95">
        <f t="shared" si="20"/>
        <v>18362486.293750964</v>
      </c>
      <c r="W82" s="95">
        <f t="shared" si="21"/>
        <v>166725.26141583337</v>
      </c>
      <c r="X82" s="95">
        <f t="shared" si="22"/>
        <v>18195761.032335132</v>
      </c>
      <c r="Y82" s="95">
        <f t="shared" si="23"/>
        <v>18368416.841058116</v>
      </c>
      <c r="Z82" s="1"/>
      <c r="AA82" s="1"/>
      <c r="AB82" s="1"/>
      <c r="AC82" s="1"/>
      <c r="AD82" s="1"/>
      <c r="AE82" s="1"/>
      <c r="AF82" s="1"/>
      <c r="AG82" s="1"/>
      <c r="AH82" s="1"/>
    </row>
    <row r="83" spans="2:34" x14ac:dyDescent="0.35">
      <c r="B83" s="1"/>
      <c r="C83" s="1">
        <f t="shared" si="9"/>
        <v>28</v>
      </c>
      <c r="D83" s="40">
        <f t="shared" si="10"/>
        <v>1153582.2445657956</v>
      </c>
      <c r="E83" s="104">
        <f t="shared" si="6"/>
        <v>167404.52076870261</v>
      </c>
      <c r="F83" s="40">
        <f t="shared" si="24"/>
        <v>986177.72379709303</v>
      </c>
      <c r="G83" s="40">
        <f t="shared" si="5"/>
        <v>990195.53391651891</v>
      </c>
      <c r="H83" s="1"/>
      <c r="I83" s="1">
        <f t="shared" si="11"/>
        <v>28</v>
      </c>
      <c r="J83" s="95">
        <f t="shared" si="12"/>
        <v>6208834.4254238596</v>
      </c>
      <c r="K83" s="95">
        <f t="shared" si="13"/>
        <v>167404.52076870261</v>
      </c>
      <c r="L83" s="95">
        <f t="shared" si="7"/>
        <v>6041429.9046551567</v>
      </c>
      <c r="M83" s="95">
        <f t="shared" si="8"/>
        <v>6080300.6465691831</v>
      </c>
      <c r="N83" s="1"/>
      <c r="O83" s="1">
        <f t="shared" si="14"/>
        <v>28</v>
      </c>
      <c r="P83" s="95">
        <f t="shared" si="15"/>
        <v>10883342.837553015</v>
      </c>
      <c r="Q83" s="95">
        <f t="shared" si="16"/>
        <v>167404.52076870261</v>
      </c>
      <c r="R83" s="95">
        <f t="shared" si="17"/>
        <v>10715938.316784313</v>
      </c>
      <c r="S83" s="95">
        <f t="shared" si="18"/>
        <v>10801388.713749822</v>
      </c>
      <c r="T83" s="1"/>
      <c r="U83" s="1">
        <f t="shared" si="19"/>
        <v>28</v>
      </c>
      <c r="V83" s="95">
        <f t="shared" si="20"/>
        <v>18368416.841058116</v>
      </c>
      <c r="W83" s="95">
        <f t="shared" si="21"/>
        <v>167404.52076870261</v>
      </c>
      <c r="X83" s="95">
        <f t="shared" si="22"/>
        <v>18201012.320289414</v>
      </c>
      <c r="Y83" s="95">
        <f t="shared" si="23"/>
        <v>18373717.957396436</v>
      </c>
      <c r="Z83" s="1"/>
      <c r="AA83" s="1"/>
      <c r="AB83" s="1"/>
      <c r="AC83" s="1"/>
      <c r="AD83" s="1"/>
      <c r="AE83" s="1"/>
      <c r="AF83" s="1"/>
      <c r="AG83" s="1"/>
      <c r="AH83" s="1"/>
    </row>
    <row r="84" spans="2:34" x14ac:dyDescent="0.35">
      <c r="B84" s="1"/>
      <c r="C84" s="1">
        <f t="shared" si="9"/>
        <v>29</v>
      </c>
      <c r="D84" s="40">
        <f t="shared" si="10"/>
        <v>990195.53391651891</v>
      </c>
      <c r="E84" s="104">
        <f t="shared" si="6"/>
        <v>168086.54750825663</v>
      </c>
      <c r="F84" s="40">
        <f t="shared" si="24"/>
        <v>822108.98640826228</v>
      </c>
      <c r="G84" s="40">
        <f t="shared" si="5"/>
        <v>825458.36018253921</v>
      </c>
      <c r="H84" s="1"/>
      <c r="I84" s="1">
        <f t="shared" si="11"/>
        <v>29</v>
      </c>
      <c r="J84" s="95">
        <f t="shared" si="12"/>
        <v>6080300.6465691831</v>
      </c>
      <c r="K84" s="95">
        <f t="shared" si="13"/>
        <v>168086.54750825663</v>
      </c>
      <c r="L84" s="95">
        <f t="shared" si="7"/>
        <v>5912214.0990609266</v>
      </c>
      <c r="M84" s="95">
        <f t="shared" si="8"/>
        <v>5950253.4625910716</v>
      </c>
      <c r="N84" s="1"/>
      <c r="O84" s="1">
        <f t="shared" si="14"/>
        <v>29</v>
      </c>
      <c r="P84" s="95">
        <f t="shared" si="15"/>
        <v>10801388.713749822</v>
      </c>
      <c r="Q84" s="95">
        <f t="shared" si="16"/>
        <v>168086.54750825663</v>
      </c>
      <c r="R84" s="95">
        <f t="shared" si="17"/>
        <v>10633302.166241566</v>
      </c>
      <c r="S84" s="95">
        <f t="shared" si="18"/>
        <v>10718093.610938143</v>
      </c>
      <c r="T84" s="1"/>
      <c r="U84" s="1">
        <f t="shared" si="19"/>
        <v>29</v>
      </c>
      <c r="V84" s="95">
        <f t="shared" si="20"/>
        <v>18373717.957396436</v>
      </c>
      <c r="W84" s="95">
        <f t="shared" si="21"/>
        <v>168086.54750825663</v>
      </c>
      <c r="X84" s="95">
        <f t="shared" si="22"/>
        <v>18205631.409888178</v>
      </c>
      <c r="Y84" s="95">
        <f t="shared" si="23"/>
        <v>18378380.876579948</v>
      </c>
      <c r="Z84" s="1"/>
      <c r="AA84" s="1"/>
      <c r="AB84" s="1"/>
      <c r="AC84" s="1"/>
      <c r="AD84" s="1"/>
      <c r="AE84" s="1"/>
      <c r="AF84" s="1"/>
      <c r="AG84" s="1"/>
      <c r="AH84" s="1"/>
    </row>
    <row r="85" spans="2:34" x14ac:dyDescent="0.35">
      <c r="B85" s="1"/>
      <c r="C85" s="1">
        <f t="shared" si="9"/>
        <v>30</v>
      </c>
      <c r="D85" s="40">
        <f t="shared" si="10"/>
        <v>825458.36018253921</v>
      </c>
      <c r="E85" s="104">
        <f t="shared" si="6"/>
        <v>168771.35290917134</v>
      </c>
      <c r="F85" s="40">
        <f t="shared" si="24"/>
        <v>656687.00727336784</v>
      </c>
      <c r="G85" s="40">
        <f t="shared" si="5"/>
        <v>659362.43142811314</v>
      </c>
      <c r="H85" s="1"/>
      <c r="I85" s="1">
        <f t="shared" si="11"/>
        <v>30</v>
      </c>
      <c r="J85" s="95">
        <f t="shared" si="12"/>
        <v>5950253.4625910716</v>
      </c>
      <c r="K85" s="95">
        <f t="shared" si="13"/>
        <v>168771.35290917134</v>
      </c>
      <c r="L85" s="95">
        <f t="shared" si="7"/>
        <v>5781482.1096819006</v>
      </c>
      <c r="M85" s="95">
        <f t="shared" si="8"/>
        <v>5818680.3396560401</v>
      </c>
      <c r="N85" s="1"/>
      <c r="O85" s="1">
        <f t="shared" si="14"/>
        <v>30</v>
      </c>
      <c r="P85" s="95">
        <f t="shared" si="15"/>
        <v>10718093.610938143</v>
      </c>
      <c r="Q85" s="95">
        <f t="shared" si="16"/>
        <v>168771.35290917134</v>
      </c>
      <c r="R85" s="95">
        <f t="shared" si="17"/>
        <v>10549322.258028971</v>
      </c>
      <c r="S85" s="95">
        <f t="shared" si="18"/>
        <v>10633444.035144255</v>
      </c>
      <c r="T85" s="1"/>
      <c r="U85" s="1">
        <f t="shared" si="19"/>
        <v>30</v>
      </c>
      <c r="V85" s="95">
        <f t="shared" si="20"/>
        <v>18378380.876579948</v>
      </c>
      <c r="W85" s="95">
        <f t="shared" si="21"/>
        <v>168771.35290917134</v>
      </c>
      <c r="X85" s="95">
        <f t="shared" si="22"/>
        <v>18209609.523670778</v>
      </c>
      <c r="Y85" s="95">
        <f t="shared" si="23"/>
        <v>18382396.737860501</v>
      </c>
      <c r="Z85" s="1"/>
      <c r="AA85" s="1"/>
      <c r="AB85" s="1"/>
      <c r="AC85" s="1"/>
      <c r="AD85" s="1"/>
      <c r="AE85" s="1"/>
      <c r="AF85" s="1"/>
      <c r="AG85" s="1"/>
      <c r="AH85" s="1"/>
    </row>
    <row r="86" spans="2:34" x14ac:dyDescent="0.35">
      <c r="B86" s="1"/>
      <c r="C86" s="1">
        <f t="shared" si="9"/>
        <v>31</v>
      </c>
      <c r="D86" s="40">
        <f t="shared" si="10"/>
        <v>659362.43142811314</v>
      </c>
      <c r="E86" s="104">
        <f t="shared" si="6"/>
        <v>169458.94829205712</v>
      </c>
      <c r="F86" s="40">
        <f t="shared" si="24"/>
        <v>489903.48313605599</v>
      </c>
      <c r="G86" s="40">
        <f t="shared" si="5"/>
        <v>491899.41056839278</v>
      </c>
      <c r="H86" s="1"/>
      <c r="I86" s="1">
        <f t="shared" si="11"/>
        <v>31</v>
      </c>
      <c r="J86" s="95">
        <f t="shared" si="12"/>
        <v>5818680.3396560401</v>
      </c>
      <c r="K86" s="95">
        <f t="shared" si="13"/>
        <v>169458.94829205712</v>
      </c>
      <c r="L86" s="95">
        <f t="shared" si="7"/>
        <v>5649221.391363983</v>
      </c>
      <c r="M86" s="95">
        <f t="shared" si="8"/>
        <v>5685568.6518940944</v>
      </c>
      <c r="N86" s="1"/>
      <c r="O86" s="1">
        <f t="shared" si="14"/>
        <v>31</v>
      </c>
      <c r="P86" s="95">
        <f t="shared" si="15"/>
        <v>10633444.035144255</v>
      </c>
      <c r="Q86" s="95">
        <f t="shared" si="16"/>
        <v>169458.94829205712</v>
      </c>
      <c r="R86" s="95">
        <f t="shared" si="17"/>
        <v>10463985.086852197</v>
      </c>
      <c r="S86" s="95">
        <f t="shared" si="18"/>
        <v>10547426.373380711</v>
      </c>
      <c r="T86" s="1"/>
      <c r="U86" s="1">
        <f t="shared" si="19"/>
        <v>31</v>
      </c>
      <c r="V86" s="95">
        <f t="shared" si="20"/>
        <v>18382396.737860501</v>
      </c>
      <c r="W86" s="95">
        <f t="shared" si="21"/>
        <v>169458.94829205712</v>
      </c>
      <c r="X86" s="95">
        <f t="shared" si="22"/>
        <v>18212937.789568443</v>
      </c>
      <c r="Y86" s="95">
        <f t="shared" si="23"/>
        <v>18385756.584984101</v>
      </c>
      <c r="Z86" s="1"/>
      <c r="AA86" s="1"/>
      <c r="AB86" s="1"/>
      <c r="AC86" s="1"/>
      <c r="AD86" s="1"/>
      <c r="AE86" s="1"/>
      <c r="AF86" s="1"/>
      <c r="AG86" s="1"/>
      <c r="AH86" s="1"/>
    </row>
    <row r="87" spans="2:34" x14ac:dyDescent="0.35">
      <c r="B87" s="1"/>
      <c r="C87" s="1">
        <f t="shared" si="9"/>
        <v>32</v>
      </c>
      <c r="D87" s="40">
        <f t="shared" si="10"/>
        <v>491899.41056839278</v>
      </c>
      <c r="E87" s="104">
        <f t="shared" si="6"/>
        <v>170149.34502364582</v>
      </c>
      <c r="F87" s="40">
        <f t="shared" si="24"/>
        <v>321750.06554474693</v>
      </c>
      <c r="G87" s="40">
        <f t="shared" si="5"/>
        <v>323060.91513917322</v>
      </c>
      <c r="H87" s="1"/>
      <c r="I87" s="1">
        <f t="shared" si="11"/>
        <v>32</v>
      </c>
      <c r="J87" s="95">
        <f t="shared" si="12"/>
        <v>5685568.6518940944</v>
      </c>
      <c r="K87" s="95">
        <f t="shared" si="13"/>
        <v>170149.34502364582</v>
      </c>
      <c r="L87" s="95">
        <f t="shared" si="7"/>
        <v>5515419.3068704484</v>
      </c>
      <c r="M87" s="95">
        <f t="shared" si="8"/>
        <v>5550905.6807601471</v>
      </c>
      <c r="N87" s="1"/>
      <c r="O87" s="1">
        <f t="shared" si="14"/>
        <v>32</v>
      </c>
      <c r="P87" s="95">
        <f t="shared" si="15"/>
        <v>10547426.373380711</v>
      </c>
      <c r="Q87" s="95">
        <f t="shared" si="16"/>
        <v>170149.34502364582</v>
      </c>
      <c r="R87" s="95">
        <f t="shared" si="17"/>
        <v>10377277.028357066</v>
      </c>
      <c r="S87" s="95">
        <f t="shared" si="18"/>
        <v>10460026.892650822</v>
      </c>
      <c r="T87" s="1"/>
      <c r="U87" s="1">
        <f t="shared" si="19"/>
        <v>32</v>
      </c>
      <c r="V87" s="95">
        <f t="shared" si="20"/>
        <v>18385756.584984101</v>
      </c>
      <c r="W87" s="95">
        <f t="shared" si="21"/>
        <v>170149.34502364582</v>
      </c>
      <c r="X87" s="95">
        <f t="shared" si="22"/>
        <v>18215607.239960454</v>
      </c>
      <c r="Y87" s="95">
        <f t="shared" si="23"/>
        <v>18388451.36523813</v>
      </c>
      <c r="Z87" s="1"/>
      <c r="AA87" s="1"/>
      <c r="AB87" s="1"/>
      <c r="AC87" s="1"/>
      <c r="AD87" s="1"/>
      <c r="AE87" s="1"/>
      <c r="AF87" s="1"/>
      <c r="AG87" s="1"/>
      <c r="AH87" s="1"/>
    </row>
    <row r="88" spans="2:34" x14ac:dyDescent="0.35">
      <c r="B88" s="1"/>
      <c r="C88" s="1">
        <f t="shared" si="9"/>
        <v>33</v>
      </c>
      <c r="D88" s="40">
        <f t="shared" si="10"/>
        <v>323060.91513917322</v>
      </c>
      <c r="E88" s="104">
        <f t="shared" si="6"/>
        <v>170842.55451697885</v>
      </c>
      <c r="F88" s="40">
        <f t="shared" si="24"/>
        <v>152218.36062219436</v>
      </c>
      <c r="G88" s="40">
        <f t="shared" si="5"/>
        <v>152838.51706551321</v>
      </c>
      <c r="H88" s="1"/>
      <c r="I88" s="1">
        <f t="shared" si="11"/>
        <v>33</v>
      </c>
      <c r="J88" s="95">
        <f t="shared" si="12"/>
        <v>5550905.6807601471</v>
      </c>
      <c r="K88" s="95">
        <f t="shared" si="13"/>
        <v>170842.55451697885</v>
      </c>
      <c r="L88" s="95">
        <f t="shared" si="7"/>
        <v>5380063.1262431685</v>
      </c>
      <c r="M88" s="95">
        <f t="shared" si="8"/>
        <v>5414678.614391136</v>
      </c>
      <c r="N88" s="1"/>
      <c r="O88" s="1">
        <f t="shared" si="14"/>
        <v>33</v>
      </c>
      <c r="P88" s="95">
        <f t="shared" si="15"/>
        <v>10460026.892650822</v>
      </c>
      <c r="Q88" s="95">
        <f t="shared" si="16"/>
        <v>170842.55451697885</v>
      </c>
      <c r="R88" s="95">
        <f t="shared" si="17"/>
        <v>10289184.338133844</v>
      </c>
      <c r="S88" s="95">
        <f t="shared" si="18"/>
        <v>10371231.738945</v>
      </c>
      <c r="T88" s="1"/>
      <c r="U88" s="1">
        <f t="shared" si="19"/>
        <v>33</v>
      </c>
      <c r="V88" s="95">
        <f t="shared" si="20"/>
        <v>18388451.36523813</v>
      </c>
      <c r="W88" s="95">
        <f t="shared" si="21"/>
        <v>170842.55451697885</v>
      </c>
      <c r="X88" s="95">
        <f t="shared" si="22"/>
        <v>18217608.810721152</v>
      </c>
      <c r="Y88" s="95">
        <f t="shared" si="23"/>
        <v>18390471.92848932</v>
      </c>
      <c r="Z88" s="1"/>
      <c r="AA88" s="1"/>
      <c r="AB88" s="1"/>
      <c r="AC88" s="1"/>
      <c r="AD88" s="1"/>
      <c r="AE88" s="1"/>
      <c r="AF88" s="1"/>
      <c r="AG88" s="1"/>
      <c r="AH88" s="1"/>
    </row>
    <row r="89" spans="2:34" x14ac:dyDescent="0.35">
      <c r="B89" s="1"/>
      <c r="C89" s="1">
        <f t="shared" si="9"/>
        <v>34</v>
      </c>
      <c r="D89" s="40">
        <f t="shared" si="10"/>
        <v>152838.51706551321</v>
      </c>
      <c r="E89" s="104">
        <f t="shared" si="6"/>
        <v>171538.58823159573</v>
      </c>
      <c r="F89" s="40">
        <f t="shared" si="24"/>
        <v>-18700.071166082518</v>
      </c>
      <c r="G89" s="40">
        <f t="shared" si="5"/>
        <v>-18776.257570776172</v>
      </c>
      <c r="H89" s="1"/>
      <c r="I89" s="1">
        <f t="shared" si="11"/>
        <v>34</v>
      </c>
      <c r="J89" s="95">
        <f t="shared" si="12"/>
        <v>5414678.614391136</v>
      </c>
      <c r="K89" s="95">
        <f t="shared" si="13"/>
        <v>171538.58823159573</v>
      </c>
      <c r="L89" s="95">
        <f t="shared" si="7"/>
        <v>5243140.0261595398</v>
      </c>
      <c r="M89" s="95">
        <f t="shared" si="8"/>
        <v>5276874.5469588144</v>
      </c>
      <c r="N89" s="1"/>
      <c r="O89" s="1">
        <f t="shared" si="14"/>
        <v>34</v>
      </c>
      <c r="P89" s="95">
        <f t="shared" si="15"/>
        <v>10371231.738945</v>
      </c>
      <c r="Q89" s="95">
        <f t="shared" si="16"/>
        <v>171538.58823159573</v>
      </c>
      <c r="R89" s="95">
        <f t="shared" si="17"/>
        <v>10199693.150713405</v>
      </c>
      <c r="S89" s="95">
        <f t="shared" si="18"/>
        <v>10281026.936228922</v>
      </c>
      <c r="T89" s="1"/>
      <c r="U89" s="1">
        <f t="shared" si="19"/>
        <v>34</v>
      </c>
      <c r="V89" s="95">
        <f t="shared" si="20"/>
        <v>18390471.92848932</v>
      </c>
      <c r="W89" s="95">
        <f t="shared" si="21"/>
        <v>171538.58823159573</v>
      </c>
      <c r="X89" s="95">
        <f t="shared" si="22"/>
        <v>18218933.340257723</v>
      </c>
      <c r="Y89" s="95">
        <f t="shared" si="23"/>
        <v>18391809.026212402</v>
      </c>
      <c r="Z89" s="1"/>
      <c r="AA89" s="1"/>
      <c r="AB89" s="1"/>
      <c r="AC89" s="1"/>
      <c r="AD89" s="1"/>
      <c r="AE89" s="1"/>
      <c r="AF89" s="1"/>
      <c r="AG89" s="1"/>
      <c r="AH89" s="1"/>
    </row>
    <row r="90" spans="2:34" x14ac:dyDescent="0.35">
      <c r="B90" s="1"/>
      <c r="C90" s="1">
        <f t="shared" si="9"/>
        <v>35</v>
      </c>
      <c r="D90" s="40">
        <f t="shared" si="10"/>
        <v>-18776.257570776172</v>
      </c>
      <c r="E90" s="104">
        <f t="shared" si="6"/>
        <v>172237.45767372355</v>
      </c>
      <c r="F90" s="40">
        <f t="shared" si="24"/>
        <v>-191013.71524449973</v>
      </c>
      <c r="G90" s="40">
        <f t="shared" si="5"/>
        <v>-191791.92876478037</v>
      </c>
      <c r="H90" s="1"/>
      <c r="I90" s="1">
        <f t="shared" si="11"/>
        <v>35</v>
      </c>
      <c r="J90" s="95">
        <f t="shared" si="12"/>
        <v>5276874.5469588144</v>
      </c>
      <c r="K90" s="95">
        <f t="shared" si="13"/>
        <v>172237.45767372355</v>
      </c>
      <c r="L90" s="95">
        <f t="shared" si="7"/>
        <v>5104637.0892850906</v>
      </c>
      <c r="M90" s="95">
        <f t="shared" si="8"/>
        <v>5137480.4780181907</v>
      </c>
      <c r="N90" s="1"/>
      <c r="O90" s="1">
        <f t="shared" si="14"/>
        <v>35</v>
      </c>
      <c r="P90" s="95">
        <f t="shared" si="15"/>
        <v>10281026.936228922</v>
      </c>
      <c r="Q90" s="95">
        <f t="shared" si="16"/>
        <v>172237.45767372355</v>
      </c>
      <c r="R90" s="95">
        <f t="shared" si="17"/>
        <v>10108789.478555199</v>
      </c>
      <c r="S90" s="95">
        <f t="shared" si="18"/>
        <v>10189398.385423422</v>
      </c>
      <c r="T90" s="1"/>
      <c r="U90" s="1">
        <f t="shared" si="19"/>
        <v>35</v>
      </c>
      <c r="V90" s="95">
        <f t="shared" si="20"/>
        <v>18391809.026212402</v>
      </c>
      <c r="W90" s="95">
        <f t="shared" si="21"/>
        <v>172237.45767372355</v>
      </c>
      <c r="X90" s="95">
        <f t="shared" si="22"/>
        <v>18219571.568538677</v>
      </c>
      <c r="Y90" s="95">
        <f t="shared" si="23"/>
        <v>18392453.310509358</v>
      </c>
      <c r="Z90" s="1"/>
      <c r="AA90" s="1"/>
      <c r="AB90" s="1"/>
      <c r="AC90" s="1"/>
      <c r="AD90" s="1"/>
      <c r="AE90" s="1"/>
      <c r="AF90" s="1"/>
      <c r="AG90" s="1"/>
      <c r="AH90" s="1"/>
    </row>
    <row r="91" spans="2:34" x14ac:dyDescent="0.35">
      <c r="B91" s="1"/>
      <c r="C91" s="1">
        <f t="shared" si="9"/>
        <v>36</v>
      </c>
      <c r="D91" s="40">
        <f t="shared" si="10"/>
        <v>-191791.92876478037</v>
      </c>
      <c r="E91" s="104">
        <f t="shared" si="6"/>
        <v>172939.17439646719</v>
      </c>
      <c r="F91" s="40">
        <f t="shared" si="24"/>
        <v>-364731.10316124756</v>
      </c>
      <c r="G91" s="40">
        <f t="shared" si="5"/>
        <v>-366217.06282327313</v>
      </c>
      <c r="H91" s="1"/>
      <c r="I91" s="1">
        <f t="shared" si="11"/>
        <v>36</v>
      </c>
      <c r="J91" s="95">
        <f t="shared" si="12"/>
        <v>5137480.4780181907</v>
      </c>
      <c r="K91" s="95">
        <f t="shared" si="13"/>
        <v>172939.17439646719</v>
      </c>
      <c r="L91" s="95">
        <f t="shared" si="7"/>
        <v>4964541.3036217233</v>
      </c>
      <c r="M91" s="95">
        <f t="shared" si="8"/>
        <v>4996483.3118515816</v>
      </c>
      <c r="N91" s="1"/>
      <c r="O91" s="1">
        <f t="shared" si="14"/>
        <v>36</v>
      </c>
      <c r="P91" s="95">
        <f t="shared" si="15"/>
        <v>10189398.385423422</v>
      </c>
      <c r="Q91" s="95">
        <f t="shared" si="16"/>
        <v>172939.17439646719</v>
      </c>
      <c r="R91" s="95">
        <f t="shared" si="17"/>
        <v>10016459.211026955</v>
      </c>
      <c r="S91" s="95">
        <f t="shared" si="18"/>
        <v>10096331.863376072</v>
      </c>
      <c r="T91" s="1"/>
      <c r="U91" s="1">
        <f t="shared" si="19"/>
        <v>36</v>
      </c>
      <c r="V91" s="95">
        <f t="shared" si="20"/>
        <v>18392453.310509358</v>
      </c>
      <c r="W91" s="95">
        <f t="shared" si="21"/>
        <v>172939.17439646719</v>
      </c>
      <c r="X91" s="95">
        <f t="shared" si="22"/>
        <v>18219514.136112891</v>
      </c>
      <c r="Y91" s="95">
        <f t="shared" si="23"/>
        <v>18392395.333119176</v>
      </c>
      <c r="Z91" s="1"/>
      <c r="AA91" s="1"/>
      <c r="AB91" s="1"/>
      <c r="AC91" s="1"/>
      <c r="AD91" s="1"/>
      <c r="AE91" s="1"/>
      <c r="AF91" s="1"/>
      <c r="AG91" s="1"/>
      <c r="AH91" s="1"/>
    </row>
    <row r="92" spans="2:34" x14ac:dyDescent="0.35">
      <c r="B92" s="1"/>
      <c r="C92" s="1"/>
      <c r="D92" s="40"/>
      <c r="E92" s="1"/>
      <c r="F92" s="40"/>
      <c r="G92" s="40"/>
      <c r="H92" s="1"/>
      <c r="I92" s="1">
        <f t="shared" si="11"/>
        <v>37</v>
      </c>
      <c r="J92" s="109">
        <f>M91</f>
        <v>4996483.3118515816</v>
      </c>
      <c r="K92" s="95">
        <f t="shared" si="13"/>
        <v>173643.75000000035</v>
      </c>
      <c r="L92" s="95">
        <f t="shared" si="7"/>
        <v>4822839.5618515816</v>
      </c>
      <c r="M92" s="95">
        <f t="shared" si="8"/>
        <v>4853869.8568082508</v>
      </c>
      <c r="N92" s="1"/>
      <c r="O92" s="1">
        <f t="shared" si="14"/>
        <v>37</v>
      </c>
      <c r="P92" s="95">
        <f t="shared" si="15"/>
        <v>10096331.863376072</v>
      </c>
      <c r="Q92" s="95">
        <f t="shared" si="16"/>
        <v>173643.75000000035</v>
      </c>
      <c r="R92" s="95">
        <f t="shared" si="17"/>
        <v>9922688.1133760717</v>
      </c>
      <c r="S92" s="95">
        <f t="shared" si="18"/>
        <v>10001813.021824347</v>
      </c>
      <c r="T92" s="1"/>
      <c r="U92" s="1">
        <f t="shared" si="19"/>
        <v>37</v>
      </c>
      <c r="V92" s="95">
        <f t="shared" si="20"/>
        <v>18392395.333119176</v>
      </c>
      <c r="W92" s="95">
        <f t="shared" si="21"/>
        <v>173643.75000000035</v>
      </c>
      <c r="X92" s="95">
        <f t="shared" si="22"/>
        <v>18218751.583119176</v>
      </c>
      <c r="Y92" s="95">
        <f t="shared" si="23"/>
        <v>18391625.544418</v>
      </c>
      <c r="Z92" s="1"/>
      <c r="AA92" s="1"/>
      <c r="AB92" s="1"/>
      <c r="AC92" s="1"/>
      <c r="AD92" s="1"/>
      <c r="AE92" s="1"/>
      <c r="AF92" s="1"/>
      <c r="AG92" s="1"/>
      <c r="AH92" s="1"/>
    </row>
    <row r="93" spans="2:34" x14ac:dyDescent="0.35">
      <c r="H93" s="110"/>
      <c r="I93" s="1">
        <f t="shared" si="11"/>
        <v>38</v>
      </c>
      <c r="J93" s="95">
        <f t="shared" si="12"/>
        <v>4853869.8568082508</v>
      </c>
      <c r="K93" s="95">
        <f t="shared" si="13"/>
        <v>174351.19613175723</v>
      </c>
      <c r="L93" s="95">
        <f t="shared" si="7"/>
        <v>4679518.6606764933</v>
      </c>
      <c r="M93" s="95">
        <f t="shared" si="8"/>
        <v>4709626.8246396091</v>
      </c>
      <c r="N93" s="1"/>
      <c r="O93" s="1">
        <f t="shared" si="14"/>
        <v>38</v>
      </c>
      <c r="P93" s="95">
        <f t="shared" si="15"/>
        <v>10001813.021824347</v>
      </c>
      <c r="Q93" s="95">
        <f t="shared" si="16"/>
        <v>174351.19613175723</v>
      </c>
      <c r="R93" s="95">
        <f t="shared" si="17"/>
        <v>9827461.8256925903</v>
      </c>
      <c r="S93" s="95">
        <f t="shared" si="18"/>
        <v>9905827.3863503542</v>
      </c>
      <c r="T93" s="1"/>
      <c r="U93" s="1">
        <f t="shared" si="19"/>
        <v>38</v>
      </c>
      <c r="V93" s="95">
        <f t="shared" si="20"/>
        <v>18391625.544418</v>
      </c>
      <c r="W93" s="95">
        <f t="shared" si="21"/>
        <v>174351.19613175723</v>
      </c>
      <c r="X93" s="95">
        <f t="shared" si="22"/>
        <v>18217274.348286241</v>
      </c>
      <c r="Y93" s="95">
        <f t="shared" si="23"/>
        <v>18390134.292409621</v>
      </c>
      <c r="Z93" s="1"/>
      <c r="AA93" s="1"/>
      <c r="AB93" s="1"/>
      <c r="AC93" s="1"/>
      <c r="AD93" s="1"/>
      <c r="AE93" s="1"/>
      <c r="AF93" s="1"/>
      <c r="AG93" s="1"/>
      <c r="AH93" s="1"/>
    </row>
    <row r="94" spans="2:34" x14ac:dyDescent="0.35">
      <c r="H94" s="1"/>
      <c r="I94" s="1">
        <f t="shared" si="11"/>
        <v>39</v>
      </c>
      <c r="J94" s="95">
        <f t="shared" si="12"/>
        <v>4709626.8246396091</v>
      </c>
      <c r="K94" s="95">
        <f t="shared" si="13"/>
        <v>175061.52448662516</v>
      </c>
      <c r="L94" s="95">
        <f t="shared" si="7"/>
        <v>4534565.3001529835</v>
      </c>
      <c r="M94" s="95">
        <f t="shared" si="8"/>
        <v>4563740.8298299443</v>
      </c>
      <c r="N94" s="1"/>
      <c r="O94" s="1">
        <f t="shared" si="14"/>
        <v>39</v>
      </c>
      <c r="P94" s="95">
        <f t="shared" si="15"/>
        <v>9905827.3863503542</v>
      </c>
      <c r="Q94" s="95">
        <f t="shared" si="16"/>
        <v>175061.52448662516</v>
      </c>
      <c r="R94" s="95">
        <f t="shared" si="17"/>
        <v>9730765.8618637286</v>
      </c>
      <c r="S94" s="95">
        <f t="shared" si="18"/>
        <v>9808360.355327012</v>
      </c>
      <c r="T94" s="1"/>
      <c r="U94" s="1">
        <f t="shared" si="19"/>
        <v>39</v>
      </c>
      <c r="V94" s="95">
        <f t="shared" si="20"/>
        <v>18390134.292409621</v>
      </c>
      <c r="W94" s="95">
        <f t="shared" si="21"/>
        <v>175061.52448662516</v>
      </c>
      <c r="X94" s="95">
        <f t="shared" si="22"/>
        <v>18215072.767922997</v>
      </c>
      <c r="Y94" s="95">
        <f t="shared" si="23"/>
        <v>18387911.82170618</v>
      </c>
      <c r="Z94" s="1"/>
      <c r="AA94" s="1"/>
      <c r="AB94" s="1"/>
      <c r="AC94" s="1"/>
      <c r="AD94" s="1"/>
      <c r="AE94" s="1"/>
      <c r="AF94" s="1"/>
      <c r="AG94" s="1"/>
      <c r="AH94" s="1"/>
    </row>
    <row r="95" spans="2:34" x14ac:dyDescent="0.35">
      <c r="H95" s="1"/>
      <c r="I95" s="1">
        <f t="shared" si="11"/>
        <v>40</v>
      </c>
      <c r="J95" s="95">
        <f t="shared" si="12"/>
        <v>4563740.8298299443</v>
      </c>
      <c r="K95" s="95">
        <f t="shared" si="13"/>
        <v>175774.74680713785</v>
      </c>
      <c r="L95" s="95">
        <f t="shared" si="7"/>
        <v>4387966.0830228068</v>
      </c>
      <c r="M95" s="95">
        <f t="shared" si="8"/>
        <v>4416198.3889226494</v>
      </c>
      <c r="N95" s="1"/>
      <c r="O95" s="1">
        <f t="shared" si="14"/>
        <v>40</v>
      </c>
      <c r="P95" s="95">
        <f t="shared" si="15"/>
        <v>9808360.355327012</v>
      </c>
      <c r="Q95" s="95">
        <f t="shared" si="16"/>
        <v>175774.74680713785</v>
      </c>
      <c r="R95" s="95">
        <f t="shared" si="17"/>
        <v>9632585.6085198745</v>
      </c>
      <c r="S95" s="95">
        <f t="shared" si="18"/>
        <v>9709397.1988556497</v>
      </c>
      <c r="T95" s="1"/>
      <c r="U95" s="1">
        <f t="shared" si="19"/>
        <v>40</v>
      </c>
      <c r="V95" s="95">
        <f t="shared" si="20"/>
        <v>18387911.82170618</v>
      </c>
      <c r="W95" s="95">
        <f t="shared" si="21"/>
        <v>175774.74680713785</v>
      </c>
      <c r="X95" s="95">
        <f t="shared" si="22"/>
        <v>18212137.07489904</v>
      </c>
      <c r="Y95" s="95">
        <f t="shared" si="23"/>
        <v>18384948.272498999</v>
      </c>
      <c r="Z95" s="1"/>
      <c r="AA95" s="1"/>
      <c r="AB95" s="1"/>
      <c r="AC95" s="1"/>
      <c r="AD95" s="1"/>
      <c r="AE95" s="1"/>
      <c r="AF95" s="1"/>
      <c r="AG95" s="1"/>
      <c r="AH95" s="1"/>
    </row>
    <row r="96" spans="2:34" x14ac:dyDescent="0.35">
      <c r="H96" s="1"/>
      <c r="I96" s="1">
        <f t="shared" si="11"/>
        <v>41</v>
      </c>
      <c r="J96" s="95">
        <f t="shared" si="12"/>
        <v>4416198.3889226494</v>
      </c>
      <c r="K96" s="95">
        <f t="shared" si="13"/>
        <v>176490.87488366957</v>
      </c>
      <c r="L96" s="95">
        <f t="shared" si="7"/>
        <v>4239707.51403898</v>
      </c>
      <c r="M96" s="95">
        <f t="shared" si="8"/>
        <v>4266985.9198419144</v>
      </c>
      <c r="N96" s="1"/>
      <c r="O96" s="1">
        <f t="shared" si="14"/>
        <v>41</v>
      </c>
      <c r="P96" s="95">
        <f t="shared" si="15"/>
        <v>9709397.1988556497</v>
      </c>
      <c r="Q96" s="95">
        <f t="shared" si="16"/>
        <v>176490.87488366957</v>
      </c>
      <c r="R96" s="95">
        <f t="shared" si="17"/>
        <v>9532906.3239719793</v>
      </c>
      <c r="S96" s="95">
        <f t="shared" si="18"/>
        <v>9608923.0576949175</v>
      </c>
      <c r="T96" s="1"/>
      <c r="U96" s="1">
        <f t="shared" si="19"/>
        <v>41</v>
      </c>
      <c r="V96" s="95">
        <f t="shared" si="20"/>
        <v>18384948.272498999</v>
      </c>
      <c r="W96" s="95">
        <f t="shared" si="21"/>
        <v>176490.87488366957</v>
      </c>
      <c r="X96" s="95">
        <f t="shared" si="22"/>
        <v>18208457.397615328</v>
      </c>
      <c r="Y96" s="95">
        <f t="shared" si="23"/>
        <v>18381233.679519478</v>
      </c>
      <c r="Z96" s="1"/>
      <c r="AA96" s="1"/>
      <c r="AB96" s="1"/>
      <c r="AC96" s="1"/>
      <c r="AD96" s="1"/>
      <c r="AE96" s="1"/>
      <c r="AF96" s="1"/>
      <c r="AG96" s="1"/>
      <c r="AH96" s="1"/>
    </row>
    <row r="97" spans="8:34" x14ac:dyDescent="0.35">
      <c r="H97" s="1"/>
      <c r="I97" s="1">
        <f t="shared" si="11"/>
        <v>42</v>
      </c>
      <c r="J97" s="95">
        <f t="shared" si="12"/>
        <v>4266985.9198419144</v>
      </c>
      <c r="K97" s="95">
        <f t="shared" si="13"/>
        <v>177209.92055463005</v>
      </c>
      <c r="L97" s="95">
        <f t="shared" si="7"/>
        <v>4089775.9992872844</v>
      </c>
      <c r="M97" s="95">
        <f t="shared" si="8"/>
        <v>4116089.7412098683</v>
      </c>
      <c r="N97" s="1"/>
      <c r="O97" s="1">
        <f t="shared" si="14"/>
        <v>42</v>
      </c>
      <c r="P97" s="95">
        <f t="shared" si="15"/>
        <v>9608923.0576949175</v>
      </c>
      <c r="Q97" s="95">
        <f t="shared" si="16"/>
        <v>177209.92055463005</v>
      </c>
      <c r="R97" s="95">
        <f t="shared" si="17"/>
        <v>9431713.1371402871</v>
      </c>
      <c r="S97" s="95">
        <f t="shared" si="18"/>
        <v>9506922.94218098</v>
      </c>
      <c r="T97" s="1"/>
      <c r="U97" s="1">
        <f t="shared" si="19"/>
        <v>42</v>
      </c>
      <c r="V97" s="95">
        <f t="shared" si="20"/>
        <v>18381233.679519478</v>
      </c>
      <c r="W97" s="95">
        <f t="shared" si="21"/>
        <v>177209.92055463005</v>
      </c>
      <c r="X97" s="95">
        <f t="shared" si="22"/>
        <v>18204023.758964848</v>
      </c>
      <c r="Y97" s="95">
        <f t="shared" si="23"/>
        <v>18376757.970989894</v>
      </c>
      <c r="Z97" s="1"/>
      <c r="AA97" s="1"/>
      <c r="AB97" s="1"/>
      <c r="AC97" s="1"/>
      <c r="AD97" s="1"/>
      <c r="AE97" s="1"/>
      <c r="AF97" s="1"/>
      <c r="AG97" s="1"/>
      <c r="AH97" s="1"/>
    </row>
    <row r="98" spans="8:34" x14ac:dyDescent="0.35">
      <c r="H98" s="1"/>
      <c r="I98" s="1">
        <f t="shared" si="11"/>
        <v>43</v>
      </c>
      <c r="J98" s="95">
        <f t="shared" si="12"/>
        <v>4116089.7412098683</v>
      </c>
      <c r="K98" s="95">
        <f t="shared" si="13"/>
        <v>177931.89570666011</v>
      </c>
      <c r="L98" s="95">
        <f t="shared" si="7"/>
        <v>3938157.8455032082</v>
      </c>
      <c r="M98" s="95">
        <f t="shared" si="8"/>
        <v>3963496.0716591221</v>
      </c>
      <c r="N98" s="1"/>
      <c r="O98" s="1">
        <f t="shared" si="14"/>
        <v>43</v>
      </c>
      <c r="P98" s="95">
        <f t="shared" si="15"/>
        <v>9506922.94218098</v>
      </c>
      <c r="Q98" s="95">
        <f t="shared" si="16"/>
        <v>177931.89570666011</v>
      </c>
      <c r="R98" s="95">
        <f t="shared" si="17"/>
        <v>9328991.046474319</v>
      </c>
      <c r="S98" s="95">
        <f t="shared" si="18"/>
        <v>9403381.7311388906</v>
      </c>
      <c r="T98" s="1"/>
      <c r="U98" s="1">
        <f t="shared" si="19"/>
        <v>43</v>
      </c>
      <c r="V98" s="95">
        <f t="shared" si="20"/>
        <v>18376757.970989894</v>
      </c>
      <c r="W98" s="95">
        <f t="shared" si="21"/>
        <v>177931.89570666011</v>
      </c>
      <c r="X98" s="95">
        <f t="shared" si="22"/>
        <v>18198826.075283233</v>
      </c>
      <c r="Y98" s="95">
        <f t="shared" si="23"/>
        <v>18371510.967564087</v>
      </c>
      <c r="Z98" s="1"/>
      <c r="AA98" s="1"/>
      <c r="AB98" s="1"/>
      <c r="AC98" s="1"/>
      <c r="AD98" s="1"/>
      <c r="AE98" s="1"/>
      <c r="AF98" s="1"/>
      <c r="AG98" s="1"/>
      <c r="AH98" s="1"/>
    </row>
    <row r="99" spans="8:34" x14ac:dyDescent="0.35">
      <c r="H99" s="1"/>
      <c r="I99" s="1">
        <f t="shared" si="11"/>
        <v>44</v>
      </c>
      <c r="J99" s="95">
        <f t="shared" si="12"/>
        <v>3963496.0716591221</v>
      </c>
      <c r="K99" s="95">
        <f t="shared" si="13"/>
        <v>178656.81227482826</v>
      </c>
      <c r="L99" s="95">
        <f t="shared" si="7"/>
        <v>3784839.259384294</v>
      </c>
      <c r="M99" s="95">
        <f t="shared" si="8"/>
        <v>3809191.0291406955</v>
      </c>
      <c r="N99" s="1"/>
      <c r="O99" s="1">
        <f t="shared" si="14"/>
        <v>44</v>
      </c>
      <c r="P99" s="95">
        <f t="shared" si="15"/>
        <v>9403381.7311388906</v>
      </c>
      <c r="Q99" s="95">
        <f t="shared" si="16"/>
        <v>178656.81227482826</v>
      </c>
      <c r="R99" s="95">
        <f t="shared" si="17"/>
        <v>9224724.9188640621</v>
      </c>
      <c r="S99" s="95">
        <f t="shared" si="18"/>
        <v>9298284.1707850918</v>
      </c>
      <c r="T99" s="1"/>
      <c r="U99" s="1">
        <f t="shared" si="19"/>
        <v>44</v>
      </c>
      <c r="V99" s="95">
        <f t="shared" si="20"/>
        <v>18371510.967564087</v>
      </c>
      <c r="W99" s="95">
        <f t="shared" si="21"/>
        <v>178656.81227482826</v>
      </c>
      <c r="X99" s="95">
        <f t="shared" si="22"/>
        <v>18192854.155289259</v>
      </c>
      <c r="Y99" s="95">
        <f t="shared" si="23"/>
        <v>18365482.381257866</v>
      </c>
      <c r="Z99" s="1"/>
      <c r="AA99" s="1"/>
      <c r="AB99" s="1"/>
      <c r="AC99" s="1"/>
      <c r="AD99" s="1"/>
      <c r="AE99" s="1"/>
      <c r="AF99" s="1"/>
      <c r="AG99" s="1"/>
      <c r="AH99" s="1"/>
    </row>
    <row r="100" spans="8:34" x14ac:dyDescent="0.35">
      <c r="H100" s="1"/>
      <c r="I100" s="1">
        <f t="shared" si="11"/>
        <v>45</v>
      </c>
      <c r="J100" s="95">
        <f t="shared" si="12"/>
        <v>3809191.0291406955</v>
      </c>
      <c r="K100" s="95">
        <f t="shared" si="13"/>
        <v>179384.68224282793</v>
      </c>
      <c r="L100" s="95">
        <f t="shared" si="7"/>
        <v>3629806.3468978675</v>
      </c>
      <c r="M100" s="95">
        <f t="shared" si="8"/>
        <v>3653160.6302272901</v>
      </c>
      <c r="N100" s="1"/>
      <c r="O100" s="1">
        <f t="shared" si="14"/>
        <v>45</v>
      </c>
      <c r="P100" s="95">
        <f t="shared" si="15"/>
        <v>9298284.1707850918</v>
      </c>
      <c r="Q100" s="95">
        <f t="shared" si="16"/>
        <v>179384.68224282793</v>
      </c>
      <c r="R100" s="95">
        <f t="shared" si="17"/>
        <v>9118899.4885422643</v>
      </c>
      <c r="S100" s="95">
        <f t="shared" si="18"/>
        <v>9191614.873620959</v>
      </c>
      <c r="T100" s="1"/>
      <c r="U100" s="1">
        <f t="shared" si="19"/>
        <v>45</v>
      </c>
      <c r="V100" s="95">
        <f t="shared" si="20"/>
        <v>18365482.381257866</v>
      </c>
      <c r="W100" s="95">
        <f t="shared" si="21"/>
        <v>179384.68224282793</v>
      </c>
      <c r="X100" s="95">
        <f t="shared" si="22"/>
        <v>18186097.699015036</v>
      </c>
      <c r="Y100" s="95">
        <f t="shared" si="23"/>
        <v>18358661.814369086</v>
      </c>
      <c r="Z100" s="1"/>
      <c r="AA100" s="1"/>
      <c r="AB100" s="1"/>
      <c r="AC100" s="1"/>
      <c r="AD100" s="1"/>
      <c r="AE100" s="1"/>
      <c r="AF100" s="1"/>
      <c r="AG100" s="1"/>
      <c r="AH100" s="1"/>
    </row>
    <row r="101" spans="8:34" x14ac:dyDescent="0.35">
      <c r="H101" s="1"/>
      <c r="I101" s="1">
        <f t="shared" si="11"/>
        <v>46</v>
      </c>
      <c r="J101" s="95">
        <f t="shared" si="12"/>
        <v>3653160.6302272901</v>
      </c>
      <c r="K101" s="95">
        <f t="shared" si="13"/>
        <v>180115.51764317564</v>
      </c>
      <c r="L101" s="95">
        <f t="shared" si="7"/>
        <v>3473045.1125841145</v>
      </c>
      <c r="M101" s="95">
        <f t="shared" si="8"/>
        <v>3495390.789411881</v>
      </c>
      <c r="N101" s="1"/>
      <c r="O101" s="1">
        <f t="shared" si="14"/>
        <v>46</v>
      </c>
      <c r="P101" s="95">
        <f t="shared" si="15"/>
        <v>9191614.873620959</v>
      </c>
      <c r="Q101" s="95">
        <f t="shared" si="16"/>
        <v>180115.51764317564</v>
      </c>
      <c r="R101" s="95">
        <f t="shared" si="17"/>
        <v>9011499.355977783</v>
      </c>
      <c r="S101" s="95">
        <f t="shared" si="18"/>
        <v>9083358.3173173256</v>
      </c>
      <c r="T101" s="1"/>
      <c r="U101" s="1">
        <f t="shared" si="19"/>
        <v>46</v>
      </c>
      <c r="V101" s="95">
        <f t="shared" si="20"/>
        <v>18358661.814369086</v>
      </c>
      <c r="W101" s="95">
        <f t="shared" si="21"/>
        <v>180115.51764317564</v>
      </c>
      <c r="X101" s="95">
        <f t="shared" si="22"/>
        <v>18178546.29672591</v>
      </c>
      <c r="Y101" s="95">
        <f t="shared" si="23"/>
        <v>18351038.758387275</v>
      </c>
      <c r="Z101" s="1"/>
      <c r="AA101" s="1"/>
      <c r="AB101" s="1"/>
      <c r="AC101" s="1"/>
      <c r="AD101" s="1"/>
      <c r="AE101" s="1"/>
      <c r="AF101" s="1"/>
      <c r="AG101" s="1"/>
      <c r="AH101" s="1"/>
    </row>
    <row r="102" spans="8:34" x14ac:dyDescent="0.35">
      <c r="H102" s="1"/>
      <c r="I102" s="1">
        <f t="shared" si="11"/>
        <v>47</v>
      </c>
      <c r="J102" s="95">
        <f t="shared" si="12"/>
        <v>3495390.789411881</v>
      </c>
      <c r="K102" s="95">
        <f t="shared" si="13"/>
        <v>180849.33055740985</v>
      </c>
      <c r="L102" s="95">
        <f t="shared" si="7"/>
        <v>3314541.4588544713</v>
      </c>
      <c r="M102" s="95">
        <f t="shared" si="8"/>
        <v>3335867.3184015956</v>
      </c>
      <c r="N102" s="1"/>
      <c r="O102" s="1">
        <f t="shared" si="14"/>
        <v>47</v>
      </c>
      <c r="P102" s="95">
        <f t="shared" si="15"/>
        <v>9083358.3173173256</v>
      </c>
      <c r="Q102" s="95">
        <f t="shared" si="16"/>
        <v>180849.33055740985</v>
      </c>
      <c r="R102" s="95">
        <f t="shared" si="17"/>
        <v>8902508.9867599159</v>
      </c>
      <c r="S102" s="95">
        <f t="shared" si="18"/>
        <v>8973498.8435899168</v>
      </c>
      <c r="T102" s="1"/>
      <c r="U102" s="1">
        <f t="shared" si="19"/>
        <v>47</v>
      </c>
      <c r="V102" s="95">
        <f t="shared" si="20"/>
        <v>18351038.758387275</v>
      </c>
      <c r="W102" s="95">
        <f t="shared" si="21"/>
        <v>180849.33055740985</v>
      </c>
      <c r="X102" s="95">
        <f t="shared" si="22"/>
        <v>18170189.427829865</v>
      </c>
      <c r="Y102" s="95">
        <f t="shared" si="23"/>
        <v>18342602.592892691</v>
      </c>
      <c r="Z102" s="1"/>
      <c r="AA102" s="1"/>
      <c r="AB102" s="1"/>
      <c r="AC102" s="1"/>
      <c r="AD102" s="1"/>
      <c r="AE102" s="1"/>
      <c r="AF102" s="1"/>
      <c r="AG102" s="1"/>
      <c r="AH102" s="1"/>
    </row>
    <row r="103" spans="8:34" x14ac:dyDescent="0.35">
      <c r="H103" s="1"/>
      <c r="I103" s="1">
        <f t="shared" si="11"/>
        <v>48</v>
      </c>
      <c r="J103" s="95">
        <f t="shared" si="12"/>
        <v>3335867.3184015956</v>
      </c>
      <c r="K103" s="95">
        <f t="shared" si="13"/>
        <v>181586.13311629067</v>
      </c>
      <c r="L103" s="95">
        <f t="shared" si="7"/>
        <v>3154281.1852853047</v>
      </c>
      <c r="M103" s="95">
        <f t="shared" si="8"/>
        <v>3174575.9254068476</v>
      </c>
      <c r="N103" s="1"/>
      <c r="O103" s="1">
        <f t="shared" si="14"/>
        <v>48</v>
      </c>
      <c r="P103" s="95">
        <f t="shared" si="15"/>
        <v>8973498.8435899168</v>
      </c>
      <c r="Q103" s="95">
        <f t="shared" si="16"/>
        <v>181586.13311629067</v>
      </c>
      <c r="R103" s="95">
        <f t="shared" si="17"/>
        <v>8791912.7104736269</v>
      </c>
      <c r="S103" s="95">
        <f t="shared" si="18"/>
        <v>8862020.6570656076</v>
      </c>
      <c r="T103" s="1"/>
      <c r="U103" s="1">
        <f t="shared" si="19"/>
        <v>48</v>
      </c>
      <c r="V103" s="95">
        <f t="shared" si="20"/>
        <v>18342602.592892691</v>
      </c>
      <c r="W103" s="95">
        <f t="shared" si="21"/>
        <v>181586.13311629067</v>
      </c>
      <c r="X103" s="95">
        <f t="shared" si="22"/>
        <v>18161016.459776402</v>
      </c>
      <c r="Y103" s="95">
        <f t="shared" si="23"/>
        <v>18333342.584444772</v>
      </c>
      <c r="Z103" s="1"/>
      <c r="AA103" s="1"/>
      <c r="AB103" s="1"/>
      <c r="AC103" s="1"/>
      <c r="AD103" s="1"/>
      <c r="AE103" s="1"/>
      <c r="AF103" s="1"/>
      <c r="AG103" s="1"/>
      <c r="AH103" s="1"/>
    </row>
    <row r="104" spans="8:34" x14ac:dyDescent="0.35">
      <c r="H104" s="1"/>
      <c r="I104" s="1">
        <f t="shared" si="11"/>
        <v>49</v>
      </c>
      <c r="J104" s="95">
        <f t="shared" si="12"/>
        <v>3174575.9254068476</v>
      </c>
      <c r="K104" s="95">
        <f t="shared" si="13"/>
        <v>182325.93750000049</v>
      </c>
      <c r="L104" s="95">
        <f t="shared" si="7"/>
        <v>2992249.9879068471</v>
      </c>
      <c r="M104" s="95">
        <f t="shared" si="8"/>
        <v>3011502.214425697</v>
      </c>
      <c r="N104" s="1"/>
      <c r="O104" s="1">
        <f t="shared" si="14"/>
        <v>49</v>
      </c>
      <c r="P104" s="95">
        <f t="shared" si="15"/>
        <v>8862020.6570656076</v>
      </c>
      <c r="Q104" s="95">
        <f t="shared" si="16"/>
        <v>182325.93750000049</v>
      </c>
      <c r="R104" s="95">
        <f t="shared" si="17"/>
        <v>8679694.7195656076</v>
      </c>
      <c r="S104" s="95">
        <f t="shared" si="18"/>
        <v>8748907.8241394386</v>
      </c>
      <c r="T104" s="1"/>
      <c r="U104" s="1">
        <f t="shared" si="19"/>
        <v>49</v>
      </c>
      <c r="V104" s="95">
        <f t="shared" si="20"/>
        <v>18333342.584444772</v>
      </c>
      <c r="W104" s="95">
        <f t="shared" si="21"/>
        <v>182325.93750000049</v>
      </c>
      <c r="X104" s="95">
        <f t="shared" si="22"/>
        <v>18151016.646944772</v>
      </c>
      <c r="Y104" s="95">
        <f t="shared" si="23"/>
        <v>18323247.885459803</v>
      </c>
      <c r="Z104" s="1"/>
      <c r="AA104" s="1"/>
      <c r="AB104" s="1"/>
      <c r="AC104" s="1"/>
      <c r="AD104" s="1"/>
      <c r="AE104" s="1"/>
      <c r="AF104" s="1"/>
      <c r="AG104" s="1"/>
      <c r="AH104" s="1"/>
    </row>
    <row r="105" spans="8:34" x14ac:dyDescent="0.35">
      <c r="H105" s="1"/>
      <c r="I105" s="1">
        <f t="shared" si="11"/>
        <v>50</v>
      </c>
      <c r="J105" s="95">
        <f t="shared" si="12"/>
        <v>3011502.214425697</v>
      </c>
      <c r="K105" s="95">
        <f t="shared" si="13"/>
        <v>183068.75593834522</v>
      </c>
      <c r="L105" s="95">
        <f t="shared" si="7"/>
        <v>2828433.4584873519</v>
      </c>
      <c r="M105" s="95">
        <f t="shared" si="8"/>
        <v>2846631.6845234009</v>
      </c>
      <c r="N105" s="1"/>
      <c r="O105" s="1">
        <f t="shared" si="14"/>
        <v>50</v>
      </c>
      <c r="P105" s="95">
        <f t="shared" si="15"/>
        <v>8748907.8241394386</v>
      </c>
      <c r="Q105" s="95">
        <f t="shared" si="16"/>
        <v>183068.75593834522</v>
      </c>
      <c r="R105" s="95">
        <f t="shared" si="17"/>
        <v>8565839.068201093</v>
      </c>
      <c r="S105" s="95">
        <f t="shared" si="18"/>
        <v>8634144.2718223184</v>
      </c>
      <c r="T105" s="1"/>
      <c r="U105" s="1">
        <f t="shared" si="19"/>
        <v>50</v>
      </c>
      <c r="V105" s="95">
        <f t="shared" si="20"/>
        <v>18323247.885459803</v>
      </c>
      <c r="W105" s="95">
        <f t="shared" si="21"/>
        <v>183068.75593834522</v>
      </c>
      <c r="X105" s="95">
        <f t="shared" si="22"/>
        <v>18140179.129521459</v>
      </c>
      <c r="Y105" s="95">
        <f t="shared" si="23"/>
        <v>18312307.533077732</v>
      </c>
      <c r="Z105" s="1"/>
      <c r="AA105" s="1"/>
      <c r="AB105" s="1"/>
      <c r="AC105" s="1"/>
      <c r="AD105" s="1"/>
      <c r="AE105" s="1"/>
      <c r="AF105" s="1"/>
      <c r="AG105" s="1"/>
      <c r="AH105" s="1"/>
    </row>
    <row r="106" spans="8:34" x14ac:dyDescent="0.35">
      <c r="H106" s="1"/>
      <c r="I106" s="1">
        <f t="shared" si="11"/>
        <v>51</v>
      </c>
      <c r="J106" s="95">
        <f t="shared" si="12"/>
        <v>2846631.6845234009</v>
      </c>
      <c r="K106" s="95">
        <f t="shared" si="13"/>
        <v>183814.60071095655</v>
      </c>
      <c r="L106" s="95">
        <f t="shared" si="7"/>
        <v>2662817.0838124445</v>
      </c>
      <c r="M106" s="95">
        <f t="shared" si="8"/>
        <v>2679949.7291071252</v>
      </c>
      <c r="N106" s="1"/>
      <c r="O106" s="1">
        <f t="shared" si="14"/>
        <v>51</v>
      </c>
      <c r="P106" s="95">
        <f t="shared" si="15"/>
        <v>8634144.2718223184</v>
      </c>
      <c r="Q106" s="95">
        <f t="shared" si="16"/>
        <v>183814.60071095655</v>
      </c>
      <c r="R106" s="95">
        <f t="shared" si="17"/>
        <v>8450329.6711113621</v>
      </c>
      <c r="S106" s="95">
        <f t="shared" si="18"/>
        <v>8517713.786579337</v>
      </c>
      <c r="T106" s="1"/>
      <c r="U106" s="1">
        <f t="shared" si="19"/>
        <v>51</v>
      </c>
      <c r="V106" s="95">
        <f t="shared" si="20"/>
        <v>18312307.533077732</v>
      </c>
      <c r="W106" s="95">
        <f t="shared" si="21"/>
        <v>183814.60071095655</v>
      </c>
      <c r="X106" s="95">
        <f t="shared" si="22"/>
        <v>18128492.932366773</v>
      </c>
      <c r="Y106" s="95">
        <f t="shared" si="23"/>
        <v>18300510.448018055</v>
      </c>
      <c r="Z106" s="1"/>
      <c r="AA106" s="1"/>
      <c r="AB106" s="1"/>
      <c r="AC106" s="1"/>
      <c r="AD106" s="1"/>
      <c r="AE106" s="1"/>
      <c r="AF106" s="1"/>
      <c r="AG106" s="1"/>
      <c r="AH106" s="1"/>
    </row>
    <row r="107" spans="8:34" x14ac:dyDescent="0.35">
      <c r="H107" s="1"/>
      <c r="I107" s="1">
        <f t="shared" si="11"/>
        <v>52</v>
      </c>
      <c r="J107" s="95">
        <f t="shared" si="12"/>
        <v>2679949.7291071252</v>
      </c>
      <c r="K107" s="95">
        <f t="shared" si="13"/>
        <v>184563.48414749489</v>
      </c>
      <c r="L107" s="95">
        <f t="shared" si="7"/>
        <v>2495386.2449596301</v>
      </c>
      <c r="M107" s="95">
        <f t="shared" si="8"/>
        <v>2511441.6351957889</v>
      </c>
      <c r="N107" s="1"/>
      <c r="O107" s="1">
        <f t="shared" si="14"/>
        <v>52</v>
      </c>
      <c r="P107" s="95">
        <f t="shared" si="15"/>
        <v>8517713.786579337</v>
      </c>
      <c r="Q107" s="95">
        <f t="shared" si="16"/>
        <v>184563.48414749489</v>
      </c>
      <c r="R107" s="95">
        <f t="shared" si="17"/>
        <v>8333150.3024318423</v>
      </c>
      <c r="S107" s="95">
        <f t="shared" si="18"/>
        <v>8399600.0131585952</v>
      </c>
      <c r="T107" s="1"/>
      <c r="U107" s="1">
        <f t="shared" si="19"/>
        <v>52</v>
      </c>
      <c r="V107" s="95">
        <f t="shared" si="20"/>
        <v>18300510.448018055</v>
      </c>
      <c r="W107" s="95">
        <f t="shared" si="21"/>
        <v>184563.48414749489</v>
      </c>
      <c r="X107" s="95">
        <f t="shared" si="22"/>
        <v>18115946.963870559</v>
      </c>
      <c r="Y107" s="95">
        <f t="shared" si="23"/>
        <v>18287845.433424614</v>
      </c>
      <c r="Z107" s="1"/>
      <c r="AA107" s="1"/>
      <c r="AB107" s="1"/>
      <c r="AC107" s="1"/>
      <c r="AD107" s="1"/>
      <c r="AE107" s="1"/>
      <c r="AF107" s="1"/>
      <c r="AG107" s="1"/>
      <c r="AH107" s="1"/>
    </row>
    <row r="108" spans="8:34" x14ac:dyDescent="0.35">
      <c r="H108" s="1"/>
      <c r="I108" s="1">
        <f t="shared" si="11"/>
        <v>53</v>
      </c>
      <c r="J108" s="95">
        <f t="shared" si="12"/>
        <v>2511441.6351957889</v>
      </c>
      <c r="K108" s="95">
        <f t="shared" si="13"/>
        <v>185315.41862785321</v>
      </c>
      <c r="L108" s="95">
        <f t="shared" si="7"/>
        <v>2326126.2165679359</v>
      </c>
      <c r="M108" s="95">
        <f t="shared" si="8"/>
        <v>2341092.5826850021</v>
      </c>
      <c r="N108" s="1"/>
      <c r="O108" s="1">
        <f t="shared" si="14"/>
        <v>53</v>
      </c>
      <c r="P108" s="95">
        <f t="shared" si="15"/>
        <v>8399600.0131585952</v>
      </c>
      <c r="Q108" s="95">
        <f t="shared" si="16"/>
        <v>185315.41862785321</v>
      </c>
      <c r="R108" s="95">
        <f t="shared" si="17"/>
        <v>8214284.5945307417</v>
      </c>
      <c r="S108" s="95">
        <f t="shared" si="18"/>
        <v>8279786.4534105109</v>
      </c>
      <c r="T108" s="1"/>
      <c r="U108" s="1">
        <f t="shared" si="19"/>
        <v>53</v>
      </c>
      <c r="V108" s="95">
        <f t="shared" si="20"/>
        <v>18287845.433424614</v>
      </c>
      <c r="W108" s="95">
        <f t="shared" si="21"/>
        <v>185315.41862785321</v>
      </c>
      <c r="X108" s="95">
        <f t="shared" si="22"/>
        <v>18102530.01479676</v>
      </c>
      <c r="Y108" s="95">
        <f t="shared" si="23"/>
        <v>18274301.173699241</v>
      </c>
      <c r="Z108" s="1"/>
      <c r="AA108" s="1"/>
      <c r="AB108" s="1"/>
      <c r="AC108" s="1"/>
      <c r="AD108" s="1"/>
      <c r="AE108" s="1"/>
      <c r="AF108" s="1"/>
      <c r="AG108" s="1"/>
      <c r="AH108" s="1"/>
    </row>
    <row r="109" spans="8:34" x14ac:dyDescent="0.35">
      <c r="H109" s="1"/>
      <c r="I109" s="1">
        <f t="shared" si="11"/>
        <v>54</v>
      </c>
      <c r="J109" s="95">
        <f t="shared" si="12"/>
        <v>2341092.5826850021</v>
      </c>
      <c r="K109" s="95">
        <f t="shared" si="13"/>
        <v>186070.41658236171</v>
      </c>
      <c r="L109" s="95">
        <f t="shared" si="7"/>
        <v>2155022.1661026403</v>
      </c>
      <c r="M109" s="95">
        <f t="shared" si="8"/>
        <v>2168887.6436070697</v>
      </c>
      <c r="N109" s="1"/>
      <c r="O109" s="1">
        <f t="shared" si="14"/>
        <v>54</v>
      </c>
      <c r="P109" s="95">
        <f t="shared" si="15"/>
        <v>8279786.4534105109</v>
      </c>
      <c r="Q109" s="95">
        <f t="shared" si="16"/>
        <v>186070.41658236171</v>
      </c>
      <c r="R109" s="95">
        <f t="shared" si="17"/>
        <v>8093716.0368281491</v>
      </c>
      <c r="S109" s="95">
        <f t="shared" si="18"/>
        <v>8158256.465097487</v>
      </c>
      <c r="T109" s="1"/>
      <c r="U109" s="1">
        <f t="shared" si="19"/>
        <v>54</v>
      </c>
      <c r="V109" s="95">
        <f t="shared" si="20"/>
        <v>18274301.173699241</v>
      </c>
      <c r="W109" s="95">
        <f t="shared" si="21"/>
        <v>186070.41658236171</v>
      </c>
      <c r="X109" s="95">
        <f t="shared" si="22"/>
        <v>18088230.75711688</v>
      </c>
      <c r="Y109" s="95">
        <f t="shared" si="23"/>
        <v>18259866.233324118</v>
      </c>
      <c r="Z109" s="1"/>
      <c r="AA109" s="1"/>
      <c r="AB109" s="1"/>
      <c r="AC109" s="1"/>
      <c r="AD109" s="1"/>
      <c r="AE109" s="1"/>
      <c r="AF109" s="1"/>
      <c r="AG109" s="1"/>
      <c r="AH109" s="1"/>
    </row>
    <row r="110" spans="8:34" x14ac:dyDescent="0.35">
      <c r="H110" s="1"/>
      <c r="I110" s="1">
        <f t="shared" si="11"/>
        <v>55</v>
      </c>
      <c r="J110" s="95">
        <f t="shared" si="12"/>
        <v>2168887.6436070697</v>
      </c>
      <c r="K110" s="95">
        <f t="shared" si="13"/>
        <v>186828.49049199326</v>
      </c>
      <c r="L110" s="95">
        <f t="shared" si="7"/>
        <v>1982059.1531150765</v>
      </c>
      <c r="M110" s="95">
        <f t="shared" si="8"/>
        <v>1994811.7813860269</v>
      </c>
      <c r="N110" s="1"/>
      <c r="O110" s="1">
        <f t="shared" si="14"/>
        <v>55</v>
      </c>
      <c r="P110" s="95">
        <f t="shared" si="15"/>
        <v>8158256.465097487</v>
      </c>
      <c r="Q110" s="95">
        <f t="shared" si="16"/>
        <v>186828.49049199326</v>
      </c>
      <c r="R110" s="95">
        <f t="shared" si="17"/>
        <v>7971427.9746054932</v>
      </c>
      <c r="S110" s="95">
        <f t="shared" si="18"/>
        <v>8034993.2606938891</v>
      </c>
      <c r="T110" s="1"/>
      <c r="U110" s="1">
        <f t="shared" si="19"/>
        <v>55</v>
      </c>
      <c r="V110" s="95">
        <f t="shared" si="20"/>
        <v>18259866.233324118</v>
      </c>
      <c r="W110" s="95">
        <f t="shared" si="21"/>
        <v>186828.49049199326</v>
      </c>
      <c r="X110" s="95">
        <f t="shared" si="22"/>
        <v>18073037.742832124</v>
      </c>
      <c r="Y110" s="95">
        <f t="shared" si="23"/>
        <v>18244529.055672761</v>
      </c>
      <c r="Z110" s="1"/>
      <c r="AA110" s="1"/>
      <c r="AB110" s="1"/>
      <c r="AC110" s="1"/>
      <c r="AD110" s="1"/>
      <c r="AE110" s="1"/>
      <c r="AF110" s="1"/>
      <c r="AG110" s="1"/>
      <c r="AH110" s="1"/>
    </row>
    <row r="111" spans="8:34" x14ac:dyDescent="0.35">
      <c r="H111" s="1"/>
      <c r="I111" s="1">
        <f t="shared" si="11"/>
        <v>56</v>
      </c>
      <c r="J111" s="95">
        <f t="shared" si="12"/>
        <v>1994811.7813860269</v>
      </c>
      <c r="K111" s="95">
        <f t="shared" si="13"/>
        <v>187589.65288856981</v>
      </c>
      <c r="L111" s="95">
        <f t="shared" si="7"/>
        <v>1807222.1284974571</v>
      </c>
      <c r="M111" s="95">
        <f t="shared" si="8"/>
        <v>1818849.8500876743</v>
      </c>
      <c r="N111" s="1"/>
      <c r="O111" s="1">
        <f t="shared" si="14"/>
        <v>56</v>
      </c>
      <c r="P111" s="95">
        <f t="shared" si="15"/>
        <v>8034993.2606938891</v>
      </c>
      <c r="Q111" s="95">
        <f t="shared" si="16"/>
        <v>187589.65288856981</v>
      </c>
      <c r="R111" s="95">
        <f t="shared" si="17"/>
        <v>7847403.6078053191</v>
      </c>
      <c r="S111" s="95">
        <f t="shared" si="18"/>
        <v>7909979.9061762448</v>
      </c>
      <c r="T111" s="1"/>
      <c r="U111" s="1">
        <f t="shared" si="19"/>
        <v>56</v>
      </c>
      <c r="V111" s="95">
        <f t="shared" si="20"/>
        <v>18244529.055672761</v>
      </c>
      <c r="W111" s="95">
        <f t="shared" si="21"/>
        <v>187589.65288856981</v>
      </c>
      <c r="X111" s="95">
        <f t="shared" si="22"/>
        <v>18056939.402784191</v>
      </c>
      <c r="Y111" s="95">
        <f t="shared" si="23"/>
        <v>18228277.961809523</v>
      </c>
      <c r="Z111" s="1"/>
      <c r="AA111" s="1"/>
      <c r="AB111" s="1"/>
      <c r="AC111" s="1"/>
      <c r="AD111" s="1"/>
      <c r="AE111" s="1"/>
      <c r="AF111" s="1"/>
      <c r="AG111" s="1"/>
      <c r="AH111" s="1"/>
    </row>
    <row r="112" spans="8:34" x14ac:dyDescent="0.35">
      <c r="H112" s="1"/>
      <c r="I112" s="1">
        <f t="shared" si="11"/>
        <v>57</v>
      </c>
      <c r="J112" s="95">
        <f t="shared" si="12"/>
        <v>1818849.8500876743</v>
      </c>
      <c r="K112" s="95">
        <f t="shared" si="13"/>
        <v>188353.91635496946</v>
      </c>
      <c r="L112" s="95">
        <f t="shared" si="7"/>
        <v>1630495.933732705</v>
      </c>
      <c r="M112" s="95">
        <f t="shared" si="8"/>
        <v>1640986.5936645793</v>
      </c>
      <c r="N112" s="1"/>
      <c r="O112" s="1">
        <f t="shared" si="14"/>
        <v>57</v>
      </c>
      <c r="P112" s="95">
        <f t="shared" si="15"/>
        <v>7909979.9061762448</v>
      </c>
      <c r="Q112" s="95">
        <f t="shared" si="16"/>
        <v>188353.91635496946</v>
      </c>
      <c r="R112" s="95">
        <f t="shared" si="17"/>
        <v>7721625.9898212757</v>
      </c>
      <c r="S112" s="95">
        <f t="shared" si="18"/>
        <v>7783199.3198035834</v>
      </c>
      <c r="T112" s="1"/>
      <c r="U112" s="1">
        <f t="shared" si="19"/>
        <v>57</v>
      </c>
      <c r="V112" s="95">
        <f t="shared" si="20"/>
        <v>18228277.961809523</v>
      </c>
      <c r="W112" s="95">
        <f t="shared" si="21"/>
        <v>188353.91635496946</v>
      </c>
      <c r="X112" s="95">
        <f t="shared" si="22"/>
        <v>18039924.045454554</v>
      </c>
      <c r="Y112" s="95">
        <f t="shared" si="23"/>
        <v>18211101.149277478</v>
      </c>
      <c r="Z112" s="1"/>
      <c r="AA112" s="1"/>
      <c r="AB112" s="1"/>
      <c r="AC112" s="1"/>
      <c r="AD112" s="1"/>
      <c r="AE112" s="1"/>
      <c r="AF112" s="1"/>
      <c r="AG112" s="1"/>
      <c r="AH112" s="1"/>
    </row>
    <row r="113" spans="8:34" x14ac:dyDescent="0.35">
      <c r="H113" s="1"/>
      <c r="I113" s="1">
        <f t="shared" si="11"/>
        <v>58</v>
      </c>
      <c r="J113" s="95">
        <f t="shared" si="12"/>
        <v>1640986.5936645793</v>
      </c>
      <c r="K113" s="95">
        <f t="shared" si="13"/>
        <v>189121.29352533456</v>
      </c>
      <c r="L113" s="95">
        <f t="shared" si="7"/>
        <v>1451865.3001392446</v>
      </c>
      <c r="M113" s="95">
        <f t="shared" si="8"/>
        <v>1461206.6451960097</v>
      </c>
      <c r="N113" s="1"/>
      <c r="O113" s="1">
        <f t="shared" si="14"/>
        <v>58</v>
      </c>
      <c r="P113" s="95">
        <f t="shared" si="15"/>
        <v>7783199.3198035834</v>
      </c>
      <c r="Q113" s="95">
        <f t="shared" si="16"/>
        <v>189121.29352533456</v>
      </c>
      <c r="R113" s="95">
        <f t="shared" si="17"/>
        <v>7594078.026278249</v>
      </c>
      <c r="S113" s="95">
        <f t="shared" si="18"/>
        <v>7654634.2708878443</v>
      </c>
      <c r="T113" s="1"/>
      <c r="U113" s="1">
        <f t="shared" si="19"/>
        <v>58</v>
      </c>
      <c r="V113" s="95">
        <f t="shared" si="20"/>
        <v>18211101.149277478</v>
      </c>
      <c r="W113" s="95">
        <f t="shared" si="21"/>
        <v>189121.29352533456</v>
      </c>
      <c r="X113" s="95">
        <f t="shared" si="22"/>
        <v>18021979.855752144</v>
      </c>
      <c r="Y113" s="95">
        <f t="shared" si="23"/>
        <v>18192986.690874603</v>
      </c>
      <c r="Z113" s="1"/>
      <c r="AA113" s="1"/>
      <c r="AB113" s="1"/>
      <c r="AC113" s="1"/>
      <c r="AD113" s="1"/>
      <c r="AE113" s="1"/>
      <c r="AF113" s="1"/>
      <c r="AG113" s="1"/>
      <c r="AH113" s="1"/>
    </row>
    <row r="114" spans="8:34" x14ac:dyDescent="0.35">
      <c r="H114" s="1"/>
      <c r="I114" s="1">
        <f t="shared" si="11"/>
        <v>59</v>
      </c>
      <c r="J114" s="95">
        <f t="shared" si="12"/>
        <v>1461206.6451960097</v>
      </c>
      <c r="K114" s="95">
        <f t="shared" si="13"/>
        <v>189891.79708528047</v>
      </c>
      <c r="L114" s="95">
        <f t="shared" si="7"/>
        <v>1271314.8481107291</v>
      </c>
      <c r="M114" s="95">
        <f t="shared" si="8"/>
        <v>1279494.5261227679</v>
      </c>
      <c r="N114" s="1"/>
      <c r="O114" s="1">
        <f t="shared" si="14"/>
        <v>59</v>
      </c>
      <c r="P114" s="95">
        <f t="shared" si="15"/>
        <v>7654634.2708878443</v>
      </c>
      <c r="Q114" s="95">
        <f t="shared" si="16"/>
        <v>189891.79708528047</v>
      </c>
      <c r="R114" s="95">
        <f t="shared" si="17"/>
        <v>7464742.4738025637</v>
      </c>
      <c r="S114" s="95">
        <f t="shared" si="18"/>
        <v>7524267.3785542678</v>
      </c>
      <c r="T114" s="1"/>
      <c r="U114" s="1">
        <f t="shared" si="19"/>
        <v>59</v>
      </c>
      <c r="V114" s="95">
        <f t="shared" si="20"/>
        <v>18192986.690874603</v>
      </c>
      <c r="W114" s="95">
        <f t="shared" si="21"/>
        <v>189891.79708528047</v>
      </c>
      <c r="X114" s="95">
        <f t="shared" si="22"/>
        <v>18003094.893789321</v>
      </c>
      <c r="Y114" s="95">
        <f t="shared" si="23"/>
        <v>18173922.533418138</v>
      </c>
      <c r="Z114" s="1"/>
      <c r="AA114" s="1"/>
      <c r="AB114" s="1"/>
      <c r="AC114" s="1"/>
      <c r="AD114" s="1"/>
      <c r="AE114" s="1"/>
      <c r="AF114" s="1"/>
      <c r="AG114" s="1"/>
      <c r="AH114" s="1"/>
    </row>
    <row r="115" spans="8:34" x14ac:dyDescent="0.35">
      <c r="H115" s="1"/>
      <c r="I115" s="1">
        <f t="shared" si="11"/>
        <v>60</v>
      </c>
      <c r="J115" s="95">
        <f t="shared" si="12"/>
        <v>1279494.5261227679</v>
      </c>
      <c r="K115" s="95">
        <f t="shared" si="13"/>
        <v>190665.43977210534</v>
      </c>
      <c r="L115" s="95">
        <f t="shared" si="7"/>
        <v>1088829.0863506626</v>
      </c>
      <c r="M115" s="95">
        <f t="shared" si="8"/>
        <v>1095834.6454768903</v>
      </c>
      <c r="N115" s="1"/>
      <c r="O115" s="1">
        <f t="shared" si="14"/>
        <v>60</v>
      </c>
      <c r="P115" s="95">
        <f t="shared" si="15"/>
        <v>7524267.3785542678</v>
      </c>
      <c r="Q115" s="95">
        <f t="shared" si="16"/>
        <v>190665.43977210534</v>
      </c>
      <c r="R115" s="95">
        <f t="shared" si="17"/>
        <v>7333601.938782162</v>
      </c>
      <c r="S115" s="95">
        <f t="shared" si="18"/>
        <v>7392081.1104916921</v>
      </c>
      <c r="T115" s="1"/>
      <c r="U115" s="1">
        <f t="shared" si="19"/>
        <v>60</v>
      </c>
      <c r="V115" s="95">
        <f t="shared" si="20"/>
        <v>18173922.533418138</v>
      </c>
      <c r="W115" s="95">
        <f t="shared" si="21"/>
        <v>190665.43977210534</v>
      </c>
      <c r="X115" s="95">
        <f t="shared" si="22"/>
        <v>17983257.093646031</v>
      </c>
      <c r="Y115" s="95">
        <f t="shared" si="23"/>
        <v>18153896.496497009</v>
      </c>
      <c r="Z115" s="1"/>
      <c r="AA115" s="1"/>
      <c r="AB115" s="1"/>
      <c r="AC115" s="1"/>
      <c r="AD115" s="1"/>
      <c r="AE115" s="1"/>
      <c r="AF115" s="1"/>
      <c r="AG115" s="1"/>
      <c r="AH115" s="1"/>
    </row>
    <row r="116" spans="8:34" x14ac:dyDescent="0.35">
      <c r="H116" s="1"/>
      <c r="I116" s="1">
        <f t="shared" si="11"/>
        <v>61</v>
      </c>
      <c r="J116" s="95">
        <f t="shared" si="12"/>
        <v>1095834.6454768903</v>
      </c>
      <c r="K116" s="95">
        <f t="shared" si="13"/>
        <v>191442.23437500064</v>
      </c>
      <c r="L116" s="95">
        <f t="shared" si="7"/>
        <v>904392.41110188956</v>
      </c>
      <c r="M116" s="95">
        <f t="shared" si="8"/>
        <v>910211.29910617776</v>
      </c>
      <c r="N116" s="1"/>
      <c r="O116" s="1">
        <f t="shared" si="14"/>
        <v>61</v>
      </c>
      <c r="P116" s="95">
        <f t="shared" si="15"/>
        <v>7392081.1104916921</v>
      </c>
      <c r="Q116" s="95">
        <f t="shared" si="16"/>
        <v>191442.23437500064</v>
      </c>
      <c r="R116" s="95">
        <f t="shared" si="17"/>
        <v>7200638.8761166912</v>
      </c>
      <c r="S116" s="95">
        <f t="shared" si="18"/>
        <v>7258057.7816926697</v>
      </c>
      <c r="T116" s="1"/>
      <c r="U116" s="1">
        <f t="shared" si="19"/>
        <v>61</v>
      </c>
      <c r="V116" s="95">
        <f t="shared" si="20"/>
        <v>18153896.496497009</v>
      </c>
      <c r="W116" s="95">
        <f t="shared" si="21"/>
        <v>191442.23437500064</v>
      </c>
      <c r="X116" s="95">
        <f t="shared" si="22"/>
        <v>17962454.262122009</v>
      </c>
      <c r="Y116" s="95">
        <f t="shared" si="23"/>
        <v>18132896.271212202</v>
      </c>
      <c r="Z116" s="1"/>
      <c r="AA116" s="1"/>
      <c r="AB116" s="1"/>
      <c r="AC116" s="1"/>
      <c r="AD116" s="1"/>
      <c r="AE116" s="1"/>
      <c r="AF116" s="1"/>
      <c r="AG116" s="1"/>
      <c r="AH116" s="1"/>
    </row>
    <row r="117" spans="8:34" x14ac:dyDescent="0.35">
      <c r="H117" s="1"/>
      <c r="I117" s="1">
        <f t="shared" si="11"/>
        <v>62</v>
      </c>
      <c r="J117" s="95">
        <f t="shared" si="12"/>
        <v>910211.29910617776</v>
      </c>
      <c r="K117" s="95">
        <f t="shared" si="13"/>
        <v>192222.19373526261</v>
      </c>
      <c r="L117" s="95">
        <f t="shared" si="7"/>
        <v>717989.10537091515</v>
      </c>
      <c r="M117" s="95">
        <f t="shared" si="8"/>
        <v>722608.66889352608</v>
      </c>
      <c r="N117" s="1"/>
      <c r="O117" s="1">
        <f t="shared" si="14"/>
        <v>62</v>
      </c>
      <c r="P117" s="95">
        <f t="shared" si="15"/>
        <v>7258057.7816926697</v>
      </c>
      <c r="Q117" s="95">
        <f t="shared" si="16"/>
        <v>192222.19373526261</v>
      </c>
      <c r="R117" s="95">
        <f t="shared" si="17"/>
        <v>7065835.5879574073</v>
      </c>
      <c r="S117" s="95">
        <f t="shared" si="18"/>
        <v>7122179.5531833256</v>
      </c>
      <c r="T117" s="1"/>
      <c r="U117" s="1">
        <f t="shared" si="19"/>
        <v>62</v>
      </c>
      <c r="V117" s="95">
        <f t="shared" si="20"/>
        <v>18132896.271212202</v>
      </c>
      <c r="W117" s="95">
        <f t="shared" si="21"/>
        <v>192222.19373526261</v>
      </c>
      <c r="X117" s="95">
        <f t="shared" si="22"/>
        <v>17940674.077476937</v>
      </c>
      <c r="Y117" s="95">
        <f t="shared" si="23"/>
        <v>18110909.418904956</v>
      </c>
      <c r="Z117" s="1"/>
      <c r="AA117" s="1"/>
      <c r="AB117" s="1"/>
      <c r="AC117" s="1"/>
      <c r="AD117" s="1"/>
      <c r="AE117" s="1"/>
      <c r="AF117" s="1"/>
      <c r="AG117" s="1"/>
      <c r="AH117" s="1"/>
    </row>
    <row r="118" spans="8:34" x14ac:dyDescent="0.35">
      <c r="H118" s="1"/>
      <c r="I118" s="1">
        <f t="shared" si="11"/>
        <v>63</v>
      </c>
      <c r="J118" s="95">
        <f t="shared" si="12"/>
        <v>722608.66889352608</v>
      </c>
      <c r="K118" s="95">
        <f t="shared" si="13"/>
        <v>193005.33074650451</v>
      </c>
      <c r="L118" s="95">
        <f t="shared" si="7"/>
        <v>529603.3381470216</v>
      </c>
      <c r="M118" s="95">
        <f t="shared" si="8"/>
        <v>533010.82197101787</v>
      </c>
      <c r="N118" s="1"/>
      <c r="O118" s="1">
        <f t="shared" si="14"/>
        <v>63</v>
      </c>
      <c r="P118" s="95">
        <f t="shared" si="15"/>
        <v>7122179.5531833256</v>
      </c>
      <c r="Q118" s="95">
        <f t="shared" si="16"/>
        <v>193005.33074650451</v>
      </c>
      <c r="R118" s="95">
        <f t="shared" si="17"/>
        <v>6929174.2224368211</v>
      </c>
      <c r="S118" s="95">
        <f t="shared" si="18"/>
        <v>6984428.4307428719</v>
      </c>
      <c r="T118" s="1"/>
      <c r="U118" s="1">
        <f t="shared" si="19"/>
        <v>63</v>
      </c>
      <c r="V118" s="95">
        <f t="shared" si="20"/>
        <v>18110909.418904956</v>
      </c>
      <c r="W118" s="95">
        <f t="shared" si="21"/>
        <v>193005.33074650451</v>
      </c>
      <c r="X118" s="95">
        <f t="shared" si="22"/>
        <v>17917904.088158451</v>
      </c>
      <c r="Y118" s="95">
        <f t="shared" si="23"/>
        <v>18087923.369872704</v>
      </c>
      <c r="Z118" s="1"/>
      <c r="AA118" s="1"/>
      <c r="AB118" s="1"/>
      <c r="AC118" s="1"/>
      <c r="AD118" s="1"/>
      <c r="AE118" s="1"/>
      <c r="AF118" s="1"/>
      <c r="AG118" s="1"/>
      <c r="AH118" s="1"/>
    </row>
    <row r="119" spans="8:34" x14ac:dyDescent="0.35">
      <c r="H119" s="1"/>
      <c r="I119" s="1">
        <f t="shared" si="11"/>
        <v>64</v>
      </c>
      <c r="J119" s="95">
        <f t="shared" si="12"/>
        <v>533010.82197101787</v>
      </c>
      <c r="K119" s="95">
        <f t="shared" si="13"/>
        <v>193791.65835486975</v>
      </c>
      <c r="L119" s="95">
        <f t="shared" si="7"/>
        <v>339219.16361614811</v>
      </c>
      <c r="M119" s="95">
        <f t="shared" si="8"/>
        <v>341401.70992874459</v>
      </c>
      <c r="N119" s="1"/>
      <c r="O119" s="1">
        <f t="shared" si="14"/>
        <v>64</v>
      </c>
      <c r="P119" s="95">
        <f t="shared" si="15"/>
        <v>6984428.4307428719</v>
      </c>
      <c r="Q119" s="95">
        <f t="shared" si="16"/>
        <v>193791.65835486975</v>
      </c>
      <c r="R119" s="95">
        <f t="shared" si="17"/>
        <v>6790636.7723880019</v>
      </c>
      <c r="S119" s="95">
        <f t="shared" si="18"/>
        <v>6844786.2636127016</v>
      </c>
      <c r="T119" s="1"/>
      <c r="U119" s="1">
        <f t="shared" si="19"/>
        <v>64</v>
      </c>
      <c r="V119" s="95">
        <f t="shared" si="20"/>
        <v>18087923.369872704</v>
      </c>
      <c r="W119" s="95">
        <f t="shared" si="21"/>
        <v>193791.65835486975</v>
      </c>
      <c r="X119" s="95">
        <f t="shared" si="22"/>
        <v>17894131.711517833</v>
      </c>
      <c r="Y119" s="95">
        <f t="shared" si="23"/>
        <v>18063925.422072582</v>
      </c>
      <c r="Z119" s="1"/>
      <c r="AA119" s="1"/>
      <c r="AB119" s="1"/>
      <c r="AC119" s="1"/>
      <c r="AD119" s="1"/>
      <c r="AE119" s="1"/>
      <c r="AF119" s="1"/>
      <c r="AG119" s="1"/>
      <c r="AH119" s="1"/>
    </row>
    <row r="120" spans="8:34" x14ac:dyDescent="0.35">
      <c r="H120" s="1"/>
      <c r="I120" s="1">
        <f t="shared" si="11"/>
        <v>65</v>
      </c>
      <c r="J120" s="95">
        <f t="shared" si="12"/>
        <v>341401.70992874459</v>
      </c>
      <c r="K120" s="95">
        <f t="shared" si="13"/>
        <v>194581.18955924598</v>
      </c>
      <c r="L120" s="95">
        <f t="shared" si="7"/>
        <v>146820.52036949861</v>
      </c>
      <c r="M120" s="95">
        <f t="shared" si="8"/>
        <v>147765.16801832235</v>
      </c>
      <c r="N120" s="1"/>
      <c r="O120" s="1">
        <f t="shared" si="14"/>
        <v>65</v>
      </c>
      <c r="P120" s="95">
        <f t="shared" si="15"/>
        <v>6844786.2636127016</v>
      </c>
      <c r="Q120" s="95">
        <f t="shared" si="16"/>
        <v>194581.18955924598</v>
      </c>
      <c r="R120" s="95">
        <f t="shared" si="17"/>
        <v>6650205.0740534551</v>
      </c>
      <c r="S120" s="95">
        <f t="shared" si="18"/>
        <v>6703234.7431949656</v>
      </c>
      <c r="T120" s="1"/>
      <c r="U120" s="1">
        <f t="shared" si="19"/>
        <v>65</v>
      </c>
      <c r="V120" s="95">
        <f t="shared" si="20"/>
        <v>18063925.422072582</v>
      </c>
      <c r="W120" s="95">
        <f t="shared" si="21"/>
        <v>194581.18955924598</v>
      </c>
      <c r="X120" s="95">
        <f t="shared" si="22"/>
        <v>17869344.232513335</v>
      </c>
      <c r="Y120" s="95">
        <f t="shared" si="23"/>
        <v>18038902.739812441</v>
      </c>
      <c r="Z120" s="1"/>
      <c r="AA120" s="1"/>
      <c r="AB120" s="1"/>
      <c r="AC120" s="1"/>
      <c r="AD120" s="1"/>
      <c r="AE120" s="1"/>
      <c r="AF120" s="1"/>
      <c r="AG120" s="1"/>
      <c r="AH120" s="1"/>
    </row>
    <row r="121" spans="8:34" x14ac:dyDescent="0.35">
      <c r="H121" s="1"/>
      <c r="I121" s="1">
        <f t="shared" si="11"/>
        <v>66</v>
      </c>
      <c r="J121" s="95">
        <f t="shared" si="12"/>
        <v>147765.16801832235</v>
      </c>
      <c r="K121" s="95">
        <f t="shared" si="13"/>
        <v>195373.93741147988</v>
      </c>
      <c r="L121" s="95">
        <f t="shared" ref="L121:L127" si="25">J121-K121</f>
        <v>-47608.769393157534</v>
      </c>
      <c r="M121" s="95">
        <f t="shared" ref="M121:M127" si="26">L121+(L121*($I$9/12))</f>
        <v>-47915.085648933316</v>
      </c>
      <c r="N121" s="1"/>
      <c r="O121" s="1">
        <f t="shared" si="14"/>
        <v>66</v>
      </c>
      <c r="P121" s="95">
        <f t="shared" si="15"/>
        <v>6703234.7431949656</v>
      </c>
      <c r="Q121" s="95">
        <f t="shared" si="16"/>
        <v>195373.93741147988</v>
      </c>
      <c r="R121" s="95">
        <f t="shared" si="17"/>
        <v>6507860.805783486</v>
      </c>
      <c r="S121" s="95">
        <f t="shared" si="18"/>
        <v>6559755.4017405622</v>
      </c>
      <c r="T121" s="1"/>
      <c r="U121" s="1">
        <f t="shared" si="19"/>
        <v>66</v>
      </c>
      <c r="V121" s="95">
        <f t="shared" si="20"/>
        <v>18038902.739812441</v>
      </c>
      <c r="W121" s="95">
        <f t="shared" si="21"/>
        <v>195373.93741147988</v>
      </c>
      <c r="X121" s="95">
        <f t="shared" si="22"/>
        <v>17843528.802400962</v>
      </c>
      <c r="Y121" s="95">
        <f t="shared" si="23"/>
        <v>18012842.352429211</v>
      </c>
      <c r="Z121" s="1"/>
      <c r="AA121" s="1"/>
      <c r="AB121" s="1"/>
      <c r="AC121" s="1"/>
      <c r="AD121" s="1"/>
      <c r="AE121" s="1"/>
      <c r="AF121" s="1"/>
      <c r="AG121" s="1"/>
      <c r="AH121" s="1"/>
    </row>
    <row r="122" spans="8:34" x14ac:dyDescent="0.35">
      <c r="H122" s="1"/>
      <c r="I122" s="1">
        <f t="shared" ref="I122:I127" si="27">I121+1</f>
        <v>67</v>
      </c>
      <c r="J122" s="95">
        <f t="shared" ref="J122:J127" si="28">M121</f>
        <v>-47915.085648933316</v>
      </c>
      <c r="K122" s="95">
        <f t="shared" ref="K122:K127" si="29">K121+K121*($F$15/12)</f>
        <v>196169.91501659303</v>
      </c>
      <c r="L122" s="95">
        <f t="shared" si="25"/>
        <v>-244085.00066552634</v>
      </c>
      <c r="M122" s="95">
        <f t="shared" si="26"/>
        <v>-245655.45090920854</v>
      </c>
      <c r="N122" s="1"/>
      <c r="O122" s="1">
        <f t="shared" ref="O122:O175" si="30">O121+1</f>
        <v>67</v>
      </c>
      <c r="P122" s="95">
        <f t="shared" ref="P122:P175" si="31">S121</f>
        <v>6559755.4017405622</v>
      </c>
      <c r="Q122" s="95">
        <f t="shared" ref="Q122:Q175" si="32">Q121+Q121*($F$15/12)</f>
        <v>196169.91501659303</v>
      </c>
      <c r="R122" s="95">
        <f t="shared" ref="R122:R175" si="33">P122-Q122</f>
        <v>6363585.4867239688</v>
      </c>
      <c r="S122" s="95">
        <f t="shared" ref="S122:S175" si="34">R122+(R122*($J$9/12))</f>
        <v>6414329.6110264398</v>
      </c>
      <c r="T122" s="1"/>
      <c r="U122" s="1">
        <f t="shared" ref="U122:U185" si="35">U121+1</f>
        <v>67</v>
      </c>
      <c r="V122" s="95">
        <f t="shared" ref="V122:V185" si="36">Y121</f>
        <v>18012842.352429211</v>
      </c>
      <c r="W122" s="95">
        <f t="shared" ref="W122:W185" si="37">W121+W121*($F$15/12)</f>
        <v>196169.91501659303</v>
      </c>
      <c r="X122" s="95">
        <f t="shared" ref="X122:X185" si="38">V122-W122</f>
        <v>17816672.43741262</v>
      </c>
      <c r="Y122" s="95">
        <f t="shared" ref="Y122:Y185" si="39">X122+(X122*($K$9/12))</f>
        <v>17985731.152954523</v>
      </c>
      <c r="Z122" s="1"/>
      <c r="AA122" s="1"/>
      <c r="AB122" s="1"/>
      <c r="AC122" s="1"/>
      <c r="AD122" s="1"/>
      <c r="AE122" s="1"/>
      <c r="AF122" s="1"/>
      <c r="AG122" s="1"/>
      <c r="AH122" s="1"/>
    </row>
    <row r="123" spans="8:34" x14ac:dyDescent="0.35">
      <c r="H123" s="1"/>
      <c r="I123" s="1">
        <f t="shared" si="27"/>
        <v>68</v>
      </c>
      <c r="J123" s="95">
        <f t="shared" si="28"/>
        <v>-245655.45090920854</v>
      </c>
      <c r="K123" s="95">
        <f t="shared" si="29"/>
        <v>196969.13553299842</v>
      </c>
      <c r="L123" s="95">
        <f t="shared" si="25"/>
        <v>-442624.58644220699</v>
      </c>
      <c r="M123" s="95">
        <f t="shared" si="26"/>
        <v>-445472.44635880395</v>
      </c>
      <c r="N123" s="1"/>
      <c r="O123" s="1">
        <f t="shared" si="30"/>
        <v>68</v>
      </c>
      <c r="P123" s="95">
        <f t="shared" si="31"/>
        <v>6414329.6110264398</v>
      </c>
      <c r="Q123" s="95">
        <f t="shared" si="32"/>
        <v>196969.13553299842</v>
      </c>
      <c r="R123" s="95">
        <f t="shared" si="33"/>
        <v>6217360.4754934413</v>
      </c>
      <c r="S123" s="95">
        <f t="shared" si="34"/>
        <v>6266938.5810221415</v>
      </c>
      <c r="T123" s="1"/>
      <c r="U123" s="1">
        <f t="shared" si="35"/>
        <v>68</v>
      </c>
      <c r="V123" s="95">
        <f t="shared" si="36"/>
        <v>17985731.152954523</v>
      </c>
      <c r="W123" s="95">
        <f t="shared" si="37"/>
        <v>196969.13553299842</v>
      </c>
      <c r="X123" s="95">
        <f t="shared" si="38"/>
        <v>17788762.017421525</v>
      </c>
      <c r="Y123" s="95">
        <f t="shared" si="39"/>
        <v>17957555.896767415</v>
      </c>
      <c r="Z123" s="1"/>
      <c r="AA123" s="1"/>
      <c r="AB123" s="1"/>
      <c r="AC123" s="1"/>
      <c r="AD123" s="1"/>
      <c r="AE123" s="1"/>
      <c r="AF123" s="1"/>
      <c r="AG123" s="1"/>
      <c r="AH123" s="1"/>
    </row>
    <row r="124" spans="8:34" x14ac:dyDescent="0.35">
      <c r="H124" s="1"/>
      <c r="I124" s="1">
        <f t="shared" si="27"/>
        <v>69</v>
      </c>
      <c r="J124" s="95">
        <f t="shared" si="28"/>
        <v>-445472.44635880395</v>
      </c>
      <c r="K124" s="95">
        <f t="shared" si="29"/>
        <v>197771.61217271807</v>
      </c>
      <c r="L124" s="95">
        <f t="shared" si="25"/>
        <v>-643244.05853152205</v>
      </c>
      <c r="M124" s="95">
        <f t="shared" si="26"/>
        <v>-647382.71017219464</v>
      </c>
      <c r="N124" s="1"/>
      <c r="O124" s="1">
        <f t="shared" si="30"/>
        <v>69</v>
      </c>
      <c r="P124" s="95">
        <f t="shared" si="31"/>
        <v>6266938.5810221415</v>
      </c>
      <c r="Q124" s="95">
        <f t="shared" si="32"/>
        <v>197771.61217271807</v>
      </c>
      <c r="R124" s="95">
        <f t="shared" si="33"/>
        <v>6069166.9688494233</v>
      </c>
      <c r="S124" s="95">
        <f t="shared" si="34"/>
        <v>6117563.3585454924</v>
      </c>
      <c r="T124" s="1"/>
      <c r="U124" s="1">
        <f t="shared" si="35"/>
        <v>69</v>
      </c>
      <c r="V124" s="95">
        <f t="shared" si="36"/>
        <v>17957555.896767415</v>
      </c>
      <c r="W124" s="95">
        <f t="shared" si="37"/>
        <v>197771.61217271807</v>
      </c>
      <c r="X124" s="95">
        <f t="shared" si="38"/>
        <v>17759784.284594696</v>
      </c>
      <c r="Y124" s="95">
        <f t="shared" si="39"/>
        <v>17928303.200234078</v>
      </c>
      <c r="Z124" s="1"/>
      <c r="AA124" s="1"/>
      <c r="AB124" s="1"/>
      <c r="AC124" s="1"/>
      <c r="AD124" s="1"/>
      <c r="AE124" s="1"/>
      <c r="AF124" s="1"/>
      <c r="AG124" s="1"/>
      <c r="AH124" s="1"/>
    </row>
    <row r="125" spans="8:34" x14ac:dyDescent="0.35">
      <c r="H125" s="1"/>
      <c r="I125" s="1">
        <f t="shared" si="27"/>
        <v>70</v>
      </c>
      <c r="J125" s="95">
        <f t="shared" si="28"/>
        <v>-647382.71017219464</v>
      </c>
      <c r="K125" s="95">
        <f t="shared" si="29"/>
        <v>198577.35820160143</v>
      </c>
      <c r="L125" s="95">
        <f t="shared" si="25"/>
        <v>-845960.06837379606</v>
      </c>
      <c r="M125" s="95">
        <f t="shared" si="26"/>
        <v>-851403.00092557364</v>
      </c>
      <c r="N125" s="1"/>
      <c r="O125" s="1">
        <f t="shared" si="30"/>
        <v>70</v>
      </c>
      <c r="P125" s="95">
        <f t="shared" si="31"/>
        <v>6117563.3585454924</v>
      </c>
      <c r="Q125" s="95">
        <f t="shared" si="32"/>
        <v>198577.35820160143</v>
      </c>
      <c r="R125" s="95">
        <f t="shared" si="33"/>
        <v>5918986.0003438909</v>
      </c>
      <c r="S125" s="95">
        <f t="shared" si="34"/>
        <v>5966184.8259073487</v>
      </c>
      <c r="T125" s="1"/>
      <c r="U125" s="1">
        <f t="shared" si="35"/>
        <v>70</v>
      </c>
      <c r="V125" s="95">
        <f t="shared" si="36"/>
        <v>17928303.200234078</v>
      </c>
      <c r="W125" s="95">
        <f t="shared" si="37"/>
        <v>198577.35820160143</v>
      </c>
      <c r="X125" s="95">
        <f t="shared" si="38"/>
        <v>17729725.842032477</v>
      </c>
      <c r="Y125" s="95">
        <f t="shared" si="39"/>
        <v>17897959.53933445</v>
      </c>
      <c r="Z125" s="1"/>
      <c r="AA125" s="1"/>
      <c r="AB125" s="1"/>
      <c r="AC125" s="1"/>
      <c r="AD125" s="1"/>
      <c r="AE125" s="1"/>
      <c r="AF125" s="1"/>
      <c r="AG125" s="1"/>
      <c r="AH125" s="1"/>
    </row>
    <row r="126" spans="8:34" x14ac:dyDescent="0.35">
      <c r="H126" s="1"/>
      <c r="I126" s="1">
        <f t="shared" si="27"/>
        <v>71</v>
      </c>
      <c r="J126" s="95">
        <f t="shared" si="28"/>
        <v>-851403.00092557364</v>
      </c>
      <c r="K126" s="95">
        <f t="shared" si="29"/>
        <v>199386.38693954464</v>
      </c>
      <c r="L126" s="95">
        <f t="shared" si="25"/>
        <v>-1050789.3878651182</v>
      </c>
      <c r="M126" s="95">
        <f t="shared" si="26"/>
        <v>-1057550.1984259144</v>
      </c>
      <c r="N126" s="1"/>
      <c r="O126" s="1">
        <f t="shared" si="30"/>
        <v>71</v>
      </c>
      <c r="P126" s="95">
        <f t="shared" si="31"/>
        <v>5966184.8259073487</v>
      </c>
      <c r="Q126" s="95">
        <f t="shared" si="32"/>
        <v>199386.38693954464</v>
      </c>
      <c r="R126" s="95">
        <f t="shared" si="33"/>
        <v>5766798.4389678044</v>
      </c>
      <c r="S126" s="95">
        <f t="shared" si="34"/>
        <v>5812783.6995453164</v>
      </c>
      <c r="T126" s="1"/>
      <c r="U126" s="1">
        <f t="shared" si="35"/>
        <v>71</v>
      </c>
      <c r="V126" s="95">
        <f t="shared" si="36"/>
        <v>17897959.53933445</v>
      </c>
      <c r="W126" s="95">
        <f t="shared" si="37"/>
        <v>199386.38693954464</v>
      </c>
      <c r="X126" s="95">
        <f t="shared" si="38"/>
        <v>17698573.152394906</v>
      </c>
      <c r="Y126" s="95">
        <f t="shared" si="39"/>
        <v>17866511.248275552</v>
      </c>
      <c r="Z126" s="1"/>
      <c r="AA126" s="1"/>
      <c r="AB126" s="1"/>
      <c r="AC126" s="1"/>
      <c r="AD126" s="1"/>
      <c r="AE126" s="1"/>
      <c r="AF126" s="1"/>
      <c r="AG126" s="1"/>
      <c r="AH126" s="1"/>
    </row>
    <row r="127" spans="8:34" x14ac:dyDescent="0.35">
      <c r="H127" s="1"/>
      <c r="I127" s="1">
        <f t="shared" si="27"/>
        <v>72</v>
      </c>
      <c r="J127" s="95">
        <f t="shared" si="28"/>
        <v>-1057550.1984259144</v>
      </c>
      <c r="K127" s="95">
        <f t="shared" si="29"/>
        <v>200198.71176071075</v>
      </c>
      <c r="L127" s="95">
        <f t="shared" si="25"/>
        <v>-1257748.9101866251</v>
      </c>
      <c r="M127" s="95">
        <f t="shared" si="26"/>
        <v>-1265841.3045455897</v>
      </c>
      <c r="N127" s="1"/>
      <c r="O127" s="1">
        <f t="shared" si="30"/>
        <v>72</v>
      </c>
      <c r="P127" s="95">
        <f t="shared" si="31"/>
        <v>5812783.6995453164</v>
      </c>
      <c r="Q127" s="95">
        <f t="shared" si="32"/>
        <v>200198.71176071075</v>
      </c>
      <c r="R127" s="95">
        <f t="shared" si="33"/>
        <v>5612584.9877846055</v>
      </c>
      <c r="S127" s="95">
        <f t="shared" si="34"/>
        <v>5657340.5286463574</v>
      </c>
      <c r="T127" s="1"/>
      <c r="U127" s="1">
        <f t="shared" si="35"/>
        <v>72</v>
      </c>
      <c r="V127" s="95">
        <f t="shared" si="36"/>
        <v>17866511.248275552</v>
      </c>
      <c r="W127" s="95">
        <f t="shared" si="37"/>
        <v>200198.71176071075</v>
      </c>
      <c r="X127" s="95">
        <f t="shared" si="38"/>
        <v>17666312.536514841</v>
      </c>
      <c r="Y127" s="95">
        <f t="shared" si="39"/>
        <v>17833944.518091459</v>
      </c>
      <c r="Z127" s="1"/>
      <c r="AA127" s="1"/>
      <c r="AB127" s="1"/>
      <c r="AC127" s="1"/>
      <c r="AD127" s="1"/>
      <c r="AE127" s="1"/>
      <c r="AF127" s="1"/>
      <c r="AG127" s="1"/>
      <c r="AH127" s="1"/>
    </row>
    <row r="128" spans="8:34" x14ac:dyDescent="0.35">
      <c r="H128" s="1"/>
      <c r="I128" s="1"/>
      <c r="J128" s="1"/>
      <c r="K128" s="1"/>
      <c r="L128" s="1"/>
      <c r="M128" s="1"/>
      <c r="N128" s="1"/>
      <c r="O128" s="1">
        <f t="shared" si="30"/>
        <v>73</v>
      </c>
      <c r="P128" s="100">
        <f t="shared" si="31"/>
        <v>5657340.5286463574</v>
      </c>
      <c r="Q128" s="95">
        <f t="shared" si="32"/>
        <v>201014.34609375082</v>
      </c>
      <c r="R128" s="95">
        <f t="shared" si="33"/>
        <v>5456326.1825526068</v>
      </c>
      <c r="S128" s="95">
        <f t="shared" si="34"/>
        <v>5499835.693758186</v>
      </c>
      <c r="T128" s="1"/>
      <c r="U128" s="1">
        <f t="shared" si="35"/>
        <v>73</v>
      </c>
      <c r="V128" s="95">
        <f t="shared" si="36"/>
        <v>17833944.518091459</v>
      </c>
      <c r="W128" s="95">
        <f t="shared" si="37"/>
        <v>201014.34609375082</v>
      </c>
      <c r="X128" s="95">
        <f t="shared" si="38"/>
        <v>17632930.171997707</v>
      </c>
      <c r="Y128" s="95">
        <f t="shared" si="39"/>
        <v>17800245.395229757</v>
      </c>
      <c r="Z128" s="1"/>
      <c r="AA128" s="1"/>
      <c r="AB128" s="1"/>
      <c r="AC128" s="1"/>
      <c r="AD128" s="1"/>
      <c r="AE128" s="1"/>
      <c r="AF128" s="1"/>
      <c r="AG128" s="1"/>
      <c r="AH128" s="1"/>
    </row>
    <row r="129" spans="8:34" x14ac:dyDescent="0.35">
      <c r="H129" s="1"/>
      <c r="I129" s="1"/>
      <c r="J129" s="1"/>
      <c r="K129" s="1"/>
      <c r="L129" s="1"/>
      <c r="M129" s="1"/>
      <c r="N129" s="1"/>
      <c r="O129" s="1">
        <f t="shared" si="30"/>
        <v>74</v>
      </c>
      <c r="P129" s="95">
        <f t="shared" si="31"/>
        <v>5499835.693758186</v>
      </c>
      <c r="Q129" s="95">
        <f t="shared" si="32"/>
        <v>201833.3034220259</v>
      </c>
      <c r="R129" s="95">
        <f t="shared" si="33"/>
        <v>5298002.3903361596</v>
      </c>
      <c r="S129" s="95">
        <f t="shared" si="34"/>
        <v>5340249.4053893676</v>
      </c>
      <c r="T129" s="1"/>
      <c r="U129" s="1">
        <f t="shared" si="35"/>
        <v>74</v>
      </c>
      <c r="V129" s="95">
        <f t="shared" si="36"/>
        <v>17800245.395229757</v>
      </c>
      <c r="W129" s="95">
        <f t="shared" si="37"/>
        <v>201833.3034220259</v>
      </c>
      <c r="X129" s="95">
        <f t="shared" si="38"/>
        <v>17598412.09180773</v>
      </c>
      <c r="Y129" s="95">
        <f t="shared" si="39"/>
        <v>17765399.780124355</v>
      </c>
      <c r="Z129" s="1"/>
      <c r="AA129" s="1"/>
      <c r="AB129" s="1"/>
      <c r="AC129" s="1"/>
      <c r="AD129" s="1"/>
      <c r="AE129" s="1"/>
      <c r="AF129" s="1"/>
      <c r="AG129" s="1"/>
      <c r="AH129" s="1"/>
    </row>
    <row r="130" spans="8:34" x14ac:dyDescent="0.35">
      <c r="H130" s="1"/>
      <c r="I130" s="1"/>
      <c r="J130" s="1"/>
      <c r="K130" s="1"/>
      <c r="L130" s="1"/>
      <c r="M130" s="1"/>
      <c r="N130" s="1"/>
      <c r="O130" s="1">
        <f t="shared" si="30"/>
        <v>75</v>
      </c>
      <c r="P130" s="95">
        <f t="shared" si="31"/>
        <v>5340249.4053893676</v>
      </c>
      <c r="Q130" s="95">
        <f t="shared" si="32"/>
        <v>202655.59728382988</v>
      </c>
      <c r="R130" s="95">
        <f t="shared" si="33"/>
        <v>5137593.8081055377</v>
      </c>
      <c r="S130" s="95">
        <f t="shared" si="34"/>
        <v>5178561.7025980381</v>
      </c>
      <c r="T130" s="1"/>
      <c r="U130" s="1">
        <f t="shared" si="35"/>
        <v>75</v>
      </c>
      <c r="V130" s="95">
        <f t="shared" si="36"/>
        <v>17765399.780124355</v>
      </c>
      <c r="W130" s="95">
        <f t="shared" si="37"/>
        <v>202655.59728382988</v>
      </c>
      <c r="X130" s="95">
        <f t="shared" si="38"/>
        <v>17562744.182840526</v>
      </c>
      <c r="Y130" s="95">
        <f t="shared" si="39"/>
        <v>17729393.425754555</v>
      </c>
      <c r="Z130" s="1"/>
      <c r="AA130" s="1"/>
      <c r="AB130" s="1"/>
      <c r="AC130" s="1"/>
      <c r="AD130" s="1"/>
      <c r="AE130" s="1"/>
      <c r="AF130" s="1"/>
      <c r="AG130" s="1"/>
      <c r="AH130" s="1"/>
    </row>
    <row r="131" spans="8:34" x14ac:dyDescent="0.35">
      <c r="H131" s="1"/>
      <c r="I131" s="1"/>
      <c r="J131" s="1"/>
      <c r="K131" s="1"/>
      <c r="L131" s="1"/>
      <c r="M131" s="1"/>
      <c r="N131" s="1"/>
      <c r="O131" s="1">
        <f t="shared" si="30"/>
        <v>76</v>
      </c>
      <c r="P131" s="95">
        <f t="shared" si="31"/>
        <v>5178561.7025980381</v>
      </c>
      <c r="Q131" s="95">
        <f t="shared" si="32"/>
        <v>203481.24127261338</v>
      </c>
      <c r="R131" s="95">
        <f t="shared" si="33"/>
        <v>4975080.4613254247</v>
      </c>
      <c r="S131" s="95">
        <f t="shared" si="34"/>
        <v>5014752.4515691288</v>
      </c>
      <c r="T131" s="1"/>
      <c r="U131" s="1">
        <f t="shared" si="35"/>
        <v>76</v>
      </c>
      <c r="V131" s="95">
        <f t="shared" si="36"/>
        <v>17729393.425754555</v>
      </c>
      <c r="W131" s="95">
        <f t="shared" si="37"/>
        <v>203481.24127261338</v>
      </c>
      <c r="X131" s="95">
        <f t="shared" si="38"/>
        <v>17525912.184481941</v>
      </c>
      <c r="Y131" s="95">
        <f t="shared" si="39"/>
        <v>17692211.936190177</v>
      </c>
      <c r="Z131" s="1"/>
      <c r="AA131" s="1"/>
      <c r="AB131" s="1"/>
      <c r="AC131" s="1"/>
      <c r="AD131" s="1"/>
      <c r="AE131" s="1"/>
      <c r="AF131" s="1"/>
      <c r="AG131" s="1"/>
      <c r="AH131" s="1"/>
    </row>
    <row r="132" spans="8:34" x14ac:dyDescent="0.35">
      <c r="H132" s="1"/>
      <c r="I132" s="1"/>
      <c r="J132" s="1"/>
      <c r="K132" s="1"/>
      <c r="L132" s="1"/>
      <c r="M132" s="1"/>
      <c r="N132" s="1"/>
      <c r="O132" s="1">
        <f t="shared" si="30"/>
        <v>77</v>
      </c>
      <c r="P132" s="95">
        <f t="shared" si="31"/>
        <v>5014752.4515691288</v>
      </c>
      <c r="Q132" s="95">
        <f t="shared" si="32"/>
        <v>204310.24903720841</v>
      </c>
      <c r="R132" s="95">
        <f t="shared" si="33"/>
        <v>4810442.2025319207</v>
      </c>
      <c r="S132" s="95">
        <f t="shared" si="34"/>
        <v>4848801.3441800354</v>
      </c>
      <c r="T132" s="1"/>
      <c r="U132" s="1">
        <f t="shared" si="35"/>
        <v>77</v>
      </c>
      <c r="V132" s="95">
        <f t="shared" si="36"/>
        <v>17692211.936190177</v>
      </c>
      <c r="W132" s="95">
        <f t="shared" si="37"/>
        <v>204310.24903720841</v>
      </c>
      <c r="X132" s="95">
        <f t="shared" si="38"/>
        <v>17487901.687152967</v>
      </c>
      <c r="Y132" s="95">
        <f t="shared" si="39"/>
        <v>17653840.765122708</v>
      </c>
      <c r="Z132" s="1"/>
      <c r="AA132" s="1"/>
      <c r="AB132" s="1"/>
      <c r="AC132" s="1"/>
      <c r="AD132" s="1"/>
      <c r="AE132" s="1"/>
      <c r="AF132" s="1"/>
      <c r="AG132" s="1"/>
      <c r="AH132" s="1"/>
    </row>
    <row r="133" spans="8:34" x14ac:dyDescent="0.35">
      <c r="H133" s="1"/>
      <c r="I133" s="1"/>
      <c r="J133" s="1"/>
      <c r="K133" s="1"/>
      <c r="L133" s="1"/>
      <c r="M133" s="1"/>
      <c r="N133" s="1"/>
      <c r="O133" s="1">
        <f t="shared" si="30"/>
        <v>78</v>
      </c>
      <c r="P133" s="95">
        <f t="shared" si="31"/>
        <v>4848801.3441800354</v>
      </c>
      <c r="Q133" s="95">
        <f t="shared" si="32"/>
        <v>205142.63428205403</v>
      </c>
      <c r="R133" s="95">
        <f t="shared" si="33"/>
        <v>4643658.709897981</v>
      </c>
      <c r="S133" s="95">
        <f t="shared" si="34"/>
        <v>4680687.8965546098</v>
      </c>
      <c r="T133" s="1"/>
      <c r="U133" s="1">
        <f t="shared" si="35"/>
        <v>78</v>
      </c>
      <c r="V133" s="95">
        <f t="shared" si="36"/>
        <v>17653840.765122708</v>
      </c>
      <c r="W133" s="95">
        <f t="shared" si="37"/>
        <v>205142.63428205403</v>
      </c>
      <c r="X133" s="95">
        <f t="shared" si="38"/>
        <v>17448698.130840655</v>
      </c>
      <c r="Y133" s="95">
        <f t="shared" si="39"/>
        <v>17614265.21438225</v>
      </c>
      <c r="Z133" s="1"/>
      <c r="AA133" s="1"/>
      <c r="AB133" s="1"/>
      <c r="AC133" s="1"/>
      <c r="AD133" s="1"/>
      <c r="AE133" s="1"/>
      <c r="AF133" s="1"/>
      <c r="AG133" s="1"/>
      <c r="AH133" s="1"/>
    </row>
    <row r="134" spans="8:34" x14ac:dyDescent="0.35">
      <c r="H134" s="1"/>
      <c r="I134" s="1"/>
      <c r="J134" s="1"/>
      <c r="K134" s="1"/>
      <c r="L134" s="1"/>
      <c r="M134" s="1"/>
      <c r="N134" s="1"/>
      <c r="O134" s="1">
        <f t="shared" si="30"/>
        <v>79</v>
      </c>
      <c r="P134" s="95">
        <f t="shared" si="31"/>
        <v>4680687.8965546098</v>
      </c>
      <c r="Q134" s="95">
        <f t="shared" si="32"/>
        <v>205978.41076742281</v>
      </c>
      <c r="R134" s="95">
        <f t="shared" si="33"/>
        <v>4474709.4857871868</v>
      </c>
      <c r="S134" s="95">
        <f t="shared" si="34"/>
        <v>4510391.4476054013</v>
      </c>
      <c r="T134" s="1"/>
      <c r="U134" s="1">
        <f t="shared" si="35"/>
        <v>79</v>
      </c>
      <c r="V134" s="95">
        <f t="shared" si="36"/>
        <v>17614265.21438225</v>
      </c>
      <c r="W134" s="95">
        <f t="shared" si="37"/>
        <v>205978.41076742281</v>
      </c>
      <c r="X134" s="95">
        <f t="shared" si="38"/>
        <v>17408286.803614829</v>
      </c>
      <c r="Y134" s="95">
        <f t="shared" si="39"/>
        <v>17573470.432440165</v>
      </c>
      <c r="Z134" s="1"/>
      <c r="AA134" s="1"/>
      <c r="AB134" s="1"/>
      <c r="AC134" s="1"/>
      <c r="AD134" s="1"/>
      <c r="AE134" s="1"/>
      <c r="AF134" s="1"/>
      <c r="AG134" s="1"/>
      <c r="AH134" s="1"/>
    </row>
    <row r="135" spans="8:34" x14ac:dyDescent="0.35">
      <c r="H135" s="1"/>
      <c r="I135" s="1"/>
      <c r="J135" s="1"/>
      <c r="K135" s="1"/>
      <c r="L135" s="1"/>
      <c r="M135" s="1"/>
      <c r="N135" s="1"/>
      <c r="O135" s="1">
        <f t="shared" si="30"/>
        <v>80</v>
      </c>
      <c r="P135" s="95">
        <f t="shared" si="31"/>
        <v>4510391.4476054013</v>
      </c>
      <c r="Q135" s="95">
        <f t="shared" si="32"/>
        <v>206817.59230964846</v>
      </c>
      <c r="R135" s="95">
        <f t="shared" si="33"/>
        <v>4303573.8552957531</v>
      </c>
      <c r="S135" s="95">
        <f t="shared" si="34"/>
        <v>4337891.1575640403</v>
      </c>
      <c r="T135" s="1"/>
      <c r="U135" s="1">
        <f t="shared" si="35"/>
        <v>80</v>
      </c>
      <c r="V135" s="95">
        <f t="shared" si="36"/>
        <v>17573470.432440165</v>
      </c>
      <c r="W135" s="95">
        <f t="shared" si="37"/>
        <v>206817.59230964846</v>
      </c>
      <c r="X135" s="95">
        <f t="shared" si="38"/>
        <v>17366652.840130515</v>
      </c>
      <c r="Y135" s="95">
        <f t="shared" si="39"/>
        <v>17531441.412897304</v>
      </c>
      <c r="Z135" s="1"/>
      <c r="AA135" s="1"/>
      <c r="AB135" s="1"/>
      <c r="AC135" s="1"/>
      <c r="AD135" s="1"/>
      <c r="AE135" s="1"/>
      <c r="AF135" s="1"/>
      <c r="AG135" s="1"/>
      <c r="AH135" s="1"/>
    </row>
    <row r="136" spans="8:34" x14ac:dyDescent="0.35">
      <c r="H136" s="1"/>
      <c r="I136" s="1"/>
      <c r="J136" s="1"/>
      <c r="K136" s="1"/>
      <c r="L136" s="1"/>
      <c r="M136" s="1"/>
      <c r="N136" s="1"/>
      <c r="O136" s="1">
        <f t="shared" si="30"/>
        <v>81</v>
      </c>
      <c r="P136" s="95">
        <f t="shared" si="31"/>
        <v>4337891.1575640403</v>
      </c>
      <c r="Q136" s="95">
        <f t="shared" si="32"/>
        <v>207660.1927813541</v>
      </c>
      <c r="R136" s="95">
        <f t="shared" si="33"/>
        <v>4130230.964782686</v>
      </c>
      <c r="S136" s="95">
        <f t="shared" si="34"/>
        <v>4163166.00649967</v>
      </c>
      <c r="T136" s="1"/>
      <c r="U136" s="1">
        <f t="shared" si="35"/>
        <v>81</v>
      </c>
      <c r="V136" s="95">
        <f t="shared" si="36"/>
        <v>17531441.412897304</v>
      </c>
      <c r="W136" s="95">
        <f t="shared" si="37"/>
        <v>207660.1927813541</v>
      </c>
      <c r="X136" s="95">
        <f t="shared" si="38"/>
        <v>17323781.220115948</v>
      </c>
      <c r="Y136" s="95">
        <f t="shared" si="39"/>
        <v>17488162.992957648</v>
      </c>
      <c r="Z136" s="1"/>
      <c r="AA136" s="1"/>
      <c r="AB136" s="1"/>
      <c r="AC136" s="1"/>
      <c r="AD136" s="1"/>
      <c r="AE136" s="1"/>
      <c r="AF136" s="1"/>
      <c r="AG136" s="1"/>
      <c r="AH136" s="1"/>
    </row>
    <row r="137" spans="8:34" x14ac:dyDescent="0.35">
      <c r="H137" s="1"/>
      <c r="I137" s="1"/>
      <c r="J137" s="1"/>
      <c r="K137" s="1"/>
      <c r="L137" s="1"/>
      <c r="M137" s="1"/>
      <c r="N137" s="1"/>
      <c r="O137" s="1">
        <f t="shared" si="30"/>
        <v>82</v>
      </c>
      <c r="P137" s="95">
        <f t="shared" si="31"/>
        <v>4163166.00649967</v>
      </c>
      <c r="Q137" s="95">
        <f t="shared" si="32"/>
        <v>208506.22611168161</v>
      </c>
      <c r="R137" s="95">
        <f t="shared" si="33"/>
        <v>3954659.7803879883</v>
      </c>
      <c r="S137" s="95">
        <f t="shared" si="34"/>
        <v>3986194.7928253398</v>
      </c>
      <c r="T137" s="1"/>
      <c r="U137" s="1">
        <f t="shared" si="35"/>
        <v>82</v>
      </c>
      <c r="V137" s="95">
        <f t="shared" si="36"/>
        <v>17488162.992957648</v>
      </c>
      <c r="W137" s="95">
        <f t="shared" si="37"/>
        <v>208506.22611168161</v>
      </c>
      <c r="X137" s="95">
        <f t="shared" si="38"/>
        <v>17279656.766845968</v>
      </c>
      <c r="Y137" s="95">
        <f t="shared" si="39"/>
        <v>17443619.851887237</v>
      </c>
      <c r="Z137" s="1"/>
      <c r="AA137" s="1"/>
      <c r="AB137" s="1"/>
      <c r="AC137" s="1"/>
      <c r="AD137" s="1"/>
      <c r="AE137" s="1"/>
      <c r="AF137" s="1"/>
      <c r="AG137" s="1"/>
      <c r="AH137" s="1"/>
    </row>
    <row r="138" spans="8:34" x14ac:dyDescent="0.35">
      <c r="H138" s="1"/>
      <c r="I138" s="1"/>
      <c r="J138" s="1"/>
      <c r="K138" s="1"/>
      <c r="L138" s="1"/>
      <c r="M138" s="1"/>
      <c r="N138" s="1"/>
      <c r="O138" s="1">
        <f t="shared" si="30"/>
        <v>83</v>
      </c>
      <c r="P138" s="95">
        <f t="shared" si="31"/>
        <v>3986194.7928253398</v>
      </c>
      <c r="Q138" s="95">
        <f t="shared" si="32"/>
        <v>209355.70628652198</v>
      </c>
      <c r="R138" s="95">
        <f t="shared" si="33"/>
        <v>3776839.0865388177</v>
      </c>
      <c r="S138" s="95">
        <f t="shared" si="34"/>
        <v>3806956.131792251</v>
      </c>
      <c r="T138" s="1"/>
      <c r="U138" s="1">
        <f t="shared" si="35"/>
        <v>83</v>
      </c>
      <c r="V138" s="95">
        <f t="shared" si="36"/>
        <v>17443619.851887237</v>
      </c>
      <c r="W138" s="95">
        <f t="shared" si="37"/>
        <v>209355.70628652198</v>
      </c>
      <c r="X138" s="95">
        <f t="shared" si="38"/>
        <v>17234264.145600714</v>
      </c>
      <c r="Y138" s="95">
        <f t="shared" si="39"/>
        <v>17397796.509458229</v>
      </c>
      <c r="Z138" s="1"/>
      <c r="AA138" s="1"/>
      <c r="AB138" s="1"/>
      <c r="AC138" s="1"/>
      <c r="AD138" s="1"/>
      <c r="AE138" s="1"/>
      <c r="AF138" s="1"/>
      <c r="AG138" s="1"/>
      <c r="AH138" s="1"/>
    </row>
    <row r="139" spans="8:34" x14ac:dyDescent="0.35">
      <c r="H139" s="1"/>
      <c r="I139" s="1"/>
      <c r="J139" s="1"/>
      <c r="K139" s="1"/>
      <c r="L139" s="1"/>
      <c r="M139" s="1"/>
      <c r="N139" s="1"/>
      <c r="O139" s="1">
        <f t="shared" si="30"/>
        <v>84</v>
      </c>
      <c r="P139" s="95">
        <f t="shared" si="31"/>
        <v>3806956.131792251</v>
      </c>
      <c r="Q139" s="95">
        <f t="shared" si="32"/>
        <v>210208.6473487464</v>
      </c>
      <c r="R139" s="95">
        <f t="shared" si="33"/>
        <v>3596747.4844435048</v>
      </c>
      <c r="S139" s="95">
        <f t="shared" si="34"/>
        <v>3625428.4539717636</v>
      </c>
      <c r="T139" s="1"/>
      <c r="U139" s="1">
        <f t="shared" si="35"/>
        <v>84</v>
      </c>
      <c r="V139" s="95">
        <f t="shared" si="36"/>
        <v>17397796.509458229</v>
      </c>
      <c r="W139" s="95">
        <f t="shared" si="37"/>
        <v>210208.6473487464</v>
      </c>
      <c r="X139" s="95">
        <f t="shared" si="38"/>
        <v>17187587.862109482</v>
      </c>
      <c r="Y139" s="95">
        <f t="shared" si="39"/>
        <v>17350677.324377991</v>
      </c>
      <c r="Z139" s="1"/>
      <c r="AA139" s="1"/>
      <c r="AB139" s="1"/>
      <c r="AC139" s="1"/>
      <c r="AD139" s="1"/>
      <c r="AE139" s="1"/>
      <c r="AF139" s="1"/>
      <c r="AG139" s="1"/>
      <c r="AH139" s="1"/>
    </row>
    <row r="140" spans="8:34" x14ac:dyDescent="0.35">
      <c r="H140" s="1"/>
      <c r="I140" s="1"/>
      <c r="J140" s="1"/>
      <c r="K140" s="1"/>
      <c r="L140" s="1"/>
      <c r="M140" s="1"/>
      <c r="N140" s="1"/>
      <c r="O140" s="1">
        <f t="shared" si="30"/>
        <v>85</v>
      </c>
      <c r="P140" s="95">
        <f t="shared" si="31"/>
        <v>3625428.4539717636</v>
      </c>
      <c r="Q140" s="95">
        <f t="shared" si="32"/>
        <v>211065.06339843848</v>
      </c>
      <c r="R140" s="95">
        <f t="shared" si="33"/>
        <v>3414363.3905733251</v>
      </c>
      <c r="S140" s="95">
        <f t="shared" si="34"/>
        <v>3441590.0037250649</v>
      </c>
      <c r="T140" s="1"/>
      <c r="U140" s="1">
        <f t="shared" si="35"/>
        <v>85</v>
      </c>
      <c r="V140" s="95">
        <f t="shared" si="36"/>
        <v>17350677.324377991</v>
      </c>
      <c r="W140" s="95">
        <f t="shared" si="37"/>
        <v>211065.06339843848</v>
      </c>
      <c r="X140" s="95">
        <f t="shared" si="38"/>
        <v>17139612.260979552</v>
      </c>
      <c r="Y140" s="95">
        <f t="shared" si="39"/>
        <v>17302246.492703028</v>
      </c>
      <c r="Z140" s="1"/>
      <c r="AA140" s="1"/>
      <c r="AB140" s="1"/>
      <c r="AC140" s="1"/>
      <c r="AD140" s="1"/>
      <c r="AE140" s="1"/>
      <c r="AF140" s="1"/>
      <c r="AG140" s="1"/>
      <c r="AH140" s="1"/>
    </row>
    <row r="141" spans="8:34" x14ac:dyDescent="0.35">
      <c r="H141" s="1"/>
      <c r="I141" s="1"/>
      <c r="J141" s="1"/>
      <c r="K141" s="1"/>
      <c r="L141" s="1"/>
      <c r="M141" s="1"/>
      <c r="N141" s="1"/>
      <c r="O141" s="1">
        <f t="shared" si="30"/>
        <v>86</v>
      </c>
      <c r="P141" s="95">
        <f t="shared" si="31"/>
        <v>3441590.0037250649</v>
      </c>
      <c r="Q141" s="95">
        <f t="shared" si="32"/>
        <v>211924.9685931273</v>
      </c>
      <c r="R141" s="95">
        <f t="shared" si="33"/>
        <v>3229665.0351319378</v>
      </c>
      <c r="S141" s="95">
        <f t="shared" si="34"/>
        <v>3255418.8376604002</v>
      </c>
      <c r="T141" s="1"/>
      <c r="U141" s="1">
        <f t="shared" si="35"/>
        <v>86</v>
      </c>
      <c r="V141" s="95">
        <f t="shared" si="36"/>
        <v>17302246.492703028</v>
      </c>
      <c r="W141" s="95">
        <f t="shared" si="37"/>
        <v>211924.9685931273</v>
      </c>
      <c r="X141" s="95">
        <f t="shared" si="38"/>
        <v>17090321.5241099</v>
      </c>
      <c r="Y141" s="95">
        <f t="shared" si="39"/>
        <v>17252488.046237625</v>
      </c>
      <c r="Z141" s="1"/>
      <c r="AA141" s="1"/>
      <c r="AB141" s="1"/>
      <c r="AC141" s="1"/>
      <c r="AD141" s="1"/>
      <c r="AE141" s="1"/>
      <c r="AF141" s="1"/>
      <c r="AG141" s="1"/>
      <c r="AH141" s="1"/>
    </row>
    <row r="142" spans="8:34" x14ac:dyDescent="0.35">
      <c r="H142" s="1"/>
      <c r="I142" s="1"/>
      <c r="J142" s="1"/>
      <c r="K142" s="1"/>
      <c r="L142" s="1"/>
      <c r="M142" s="1"/>
      <c r="N142" s="1"/>
      <c r="O142" s="1">
        <f t="shared" si="30"/>
        <v>87</v>
      </c>
      <c r="P142" s="95">
        <f t="shared" si="31"/>
        <v>3255418.8376604002</v>
      </c>
      <c r="Q142" s="95">
        <f t="shared" si="32"/>
        <v>212788.37714802148</v>
      </c>
      <c r="R142" s="95">
        <f t="shared" si="33"/>
        <v>3042630.4605123787</v>
      </c>
      <c r="S142" s="95">
        <f t="shared" si="34"/>
        <v>3066892.8230777644</v>
      </c>
      <c r="T142" s="1"/>
      <c r="U142" s="1">
        <f t="shared" si="35"/>
        <v>87</v>
      </c>
      <c r="V142" s="95">
        <f t="shared" si="36"/>
        <v>17252488.046237625</v>
      </c>
      <c r="W142" s="95">
        <f t="shared" si="37"/>
        <v>212788.37714802148</v>
      </c>
      <c r="X142" s="95">
        <f t="shared" si="38"/>
        <v>17039699.669089604</v>
      </c>
      <c r="Y142" s="95">
        <f t="shared" si="39"/>
        <v>17201385.850917079</v>
      </c>
      <c r="Z142" s="1"/>
      <c r="AA142" s="1"/>
      <c r="AB142" s="1"/>
      <c r="AC142" s="1"/>
      <c r="AD142" s="1"/>
      <c r="AE142" s="1"/>
      <c r="AF142" s="1"/>
      <c r="AG142" s="1"/>
      <c r="AH142" s="1"/>
    </row>
    <row r="143" spans="8:34" x14ac:dyDescent="0.35">
      <c r="H143" s="1"/>
      <c r="I143" s="1"/>
      <c r="J143" s="1"/>
      <c r="K143" s="1"/>
      <c r="L143" s="1"/>
      <c r="M143" s="1"/>
      <c r="N143" s="1"/>
      <c r="O143" s="1">
        <f t="shared" si="30"/>
        <v>88</v>
      </c>
      <c r="P143" s="95">
        <f t="shared" si="31"/>
        <v>3066892.8230777644</v>
      </c>
      <c r="Q143" s="95">
        <f t="shared" si="32"/>
        <v>213655.30333624416</v>
      </c>
      <c r="R143" s="95">
        <f t="shared" si="33"/>
        <v>2853237.5197415203</v>
      </c>
      <c r="S143" s="95">
        <f t="shared" si="34"/>
        <v>2875989.6364009562</v>
      </c>
      <c r="T143" s="1"/>
      <c r="U143" s="1">
        <f t="shared" si="35"/>
        <v>88</v>
      </c>
      <c r="V143" s="95">
        <f t="shared" si="36"/>
        <v>17201385.850917079</v>
      </c>
      <c r="W143" s="95">
        <f t="shared" si="37"/>
        <v>213655.30333624416</v>
      </c>
      <c r="X143" s="95">
        <f t="shared" si="38"/>
        <v>16987730.547580834</v>
      </c>
      <c r="Y143" s="95">
        <f t="shared" si="39"/>
        <v>17148923.60517532</v>
      </c>
      <c r="Z143" s="1"/>
      <c r="AA143" s="1"/>
      <c r="AB143" s="1"/>
      <c r="AC143" s="1"/>
      <c r="AD143" s="1"/>
      <c r="AE143" s="1"/>
      <c r="AF143" s="1"/>
      <c r="AG143" s="1"/>
      <c r="AH143" s="1"/>
    </row>
    <row r="144" spans="8:34" x14ac:dyDescent="0.35">
      <c r="H144" s="1"/>
      <c r="I144" s="1"/>
      <c r="J144" s="1"/>
      <c r="K144" s="1"/>
      <c r="L144" s="1"/>
      <c r="M144" s="1"/>
      <c r="N144" s="1"/>
      <c r="O144" s="1">
        <f t="shared" si="30"/>
        <v>89</v>
      </c>
      <c r="P144" s="95">
        <f t="shared" si="31"/>
        <v>2875989.6364009562</v>
      </c>
      <c r="Q144" s="95">
        <f t="shared" si="32"/>
        <v>214525.76148906897</v>
      </c>
      <c r="R144" s="95">
        <f t="shared" si="33"/>
        <v>2661463.8749118871</v>
      </c>
      <c r="S144" s="95">
        <f t="shared" si="34"/>
        <v>2682686.7615968888</v>
      </c>
      <c r="T144" s="1"/>
      <c r="U144" s="1">
        <f t="shared" si="35"/>
        <v>89</v>
      </c>
      <c r="V144" s="95">
        <f t="shared" si="36"/>
        <v>17148923.60517532</v>
      </c>
      <c r="W144" s="95">
        <f t="shared" si="37"/>
        <v>214525.76148906897</v>
      </c>
      <c r="X144" s="95">
        <f t="shared" si="38"/>
        <v>16934397.843686253</v>
      </c>
      <c r="Y144" s="95">
        <f t="shared" si="39"/>
        <v>17095084.838296842</v>
      </c>
      <c r="Z144" s="1"/>
      <c r="AA144" s="1"/>
      <c r="AB144" s="1"/>
      <c r="AC144" s="1"/>
      <c r="AD144" s="1"/>
      <c r="AE144" s="1"/>
      <c r="AF144" s="1"/>
      <c r="AG144" s="1"/>
      <c r="AH144" s="1"/>
    </row>
    <row r="145" spans="8:34" x14ac:dyDescent="0.35">
      <c r="H145" s="1"/>
      <c r="I145" s="1"/>
      <c r="J145" s="1"/>
      <c r="K145" s="1"/>
      <c r="L145" s="1"/>
      <c r="M145" s="1"/>
      <c r="N145" s="1"/>
      <c r="O145" s="1">
        <f t="shared" si="30"/>
        <v>90</v>
      </c>
      <c r="P145" s="95">
        <f t="shared" si="31"/>
        <v>2682686.7615968888</v>
      </c>
      <c r="Q145" s="95">
        <f t="shared" si="32"/>
        <v>215399.76599615687</v>
      </c>
      <c r="R145" s="95">
        <f t="shared" si="33"/>
        <v>2467286.995600732</v>
      </c>
      <c r="S145" s="95">
        <f t="shared" si="34"/>
        <v>2486961.4885820602</v>
      </c>
      <c r="T145" s="1"/>
      <c r="U145" s="1">
        <f t="shared" si="35"/>
        <v>90</v>
      </c>
      <c r="V145" s="95">
        <f t="shared" si="36"/>
        <v>17095084.838296842</v>
      </c>
      <c r="W145" s="95">
        <f t="shared" si="37"/>
        <v>215399.76599615687</v>
      </c>
      <c r="X145" s="95">
        <f t="shared" si="38"/>
        <v>16879685.072300684</v>
      </c>
      <c r="Y145" s="95">
        <f t="shared" si="39"/>
        <v>17039852.908752717</v>
      </c>
      <c r="Z145" s="1"/>
      <c r="AA145" s="1"/>
      <c r="AB145" s="1"/>
      <c r="AC145" s="1"/>
      <c r="AD145" s="1"/>
      <c r="AE145" s="1"/>
      <c r="AF145" s="1"/>
      <c r="AG145" s="1"/>
      <c r="AH145" s="1"/>
    </row>
    <row r="146" spans="8:34" x14ac:dyDescent="0.35">
      <c r="H146" s="1"/>
      <c r="I146" s="1"/>
      <c r="J146" s="1"/>
      <c r="K146" s="1"/>
      <c r="L146" s="1"/>
      <c r="M146" s="1"/>
      <c r="N146" s="1"/>
      <c r="O146" s="1">
        <f t="shared" si="30"/>
        <v>91</v>
      </c>
      <c r="P146" s="95">
        <f t="shared" si="31"/>
        <v>2486961.4885820602</v>
      </c>
      <c r="Q146" s="95">
        <f t="shared" si="32"/>
        <v>216277.3313057941</v>
      </c>
      <c r="R146" s="95">
        <f t="shared" si="33"/>
        <v>2270684.1572762663</v>
      </c>
      <c r="S146" s="95">
        <f t="shared" si="34"/>
        <v>2288790.9116160744</v>
      </c>
      <c r="T146" s="1"/>
      <c r="U146" s="1">
        <f t="shared" si="35"/>
        <v>91</v>
      </c>
      <c r="V146" s="95">
        <f t="shared" si="36"/>
        <v>17039852.908752717</v>
      </c>
      <c r="W146" s="95">
        <f t="shared" si="37"/>
        <v>216277.3313057941</v>
      </c>
      <c r="X146" s="95">
        <f t="shared" si="38"/>
        <v>16823575.577446923</v>
      </c>
      <c r="Y146" s="95">
        <f t="shared" si="39"/>
        <v>16983211.002520625</v>
      </c>
      <c r="Z146" s="1"/>
      <c r="AA146" s="1"/>
      <c r="AB146" s="1"/>
      <c r="AC146" s="1"/>
      <c r="AD146" s="1"/>
      <c r="AE146" s="1"/>
      <c r="AF146" s="1"/>
      <c r="AG146" s="1"/>
      <c r="AH146" s="1"/>
    </row>
    <row r="147" spans="8:34" x14ac:dyDescent="0.35">
      <c r="H147" s="1"/>
      <c r="I147" s="1"/>
      <c r="J147" s="1"/>
      <c r="K147" s="1"/>
      <c r="L147" s="1"/>
      <c r="M147" s="1"/>
      <c r="N147" s="1"/>
      <c r="O147" s="1">
        <f t="shared" si="30"/>
        <v>92</v>
      </c>
      <c r="P147" s="95">
        <f t="shared" si="31"/>
        <v>2288790.9116160744</v>
      </c>
      <c r="Q147" s="95">
        <f t="shared" si="32"/>
        <v>217158.47192513102</v>
      </c>
      <c r="R147" s="95">
        <f t="shared" si="33"/>
        <v>2071632.4396909433</v>
      </c>
      <c r="S147" s="95">
        <f t="shared" si="34"/>
        <v>2088151.9276821115</v>
      </c>
      <c r="T147" s="1"/>
      <c r="U147" s="1">
        <f t="shared" si="35"/>
        <v>92</v>
      </c>
      <c r="V147" s="95">
        <f t="shared" si="36"/>
        <v>16983211.002520625</v>
      </c>
      <c r="W147" s="95">
        <f t="shared" si="37"/>
        <v>217158.47192513102</v>
      </c>
      <c r="X147" s="95">
        <f t="shared" si="38"/>
        <v>16766052.530595494</v>
      </c>
      <c r="Y147" s="95">
        <f t="shared" si="39"/>
        <v>16925142.131388657</v>
      </c>
      <c r="Z147" s="1"/>
      <c r="AA147" s="1"/>
      <c r="AB147" s="1"/>
      <c r="AC147" s="1"/>
      <c r="AD147" s="1"/>
      <c r="AE147" s="1"/>
      <c r="AF147" s="1"/>
      <c r="AG147" s="1"/>
      <c r="AH147" s="1"/>
    </row>
    <row r="148" spans="8:34" x14ac:dyDescent="0.35">
      <c r="H148" s="1"/>
      <c r="I148" s="1"/>
      <c r="J148" s="1"/>
      <c r="K148" s="1"/>
      <c r="L148" s="1"/>
      <c r="M148" s="1"/>
      <c r="N148" s="1"/>
      <c r="O148" s="1">
        <f t="shared" si="30"/>
        <v>93</v>
      </c>
      <c r="P148" s="95">
        <f t="shared" si="31"/>
        <v>2088151.9276821115</v>
      </c>
      <c r="Q148" s="95">
        <f t="shared" si="32"/>
        <v>218043.20242042193</v>
      </c>
      <c r="R148" s="95">
        <f t="shared" si="33"/>
        <v>1870108.7252616896</v>
      </c>
      <c r="S148" s="95">
        <f t="shared" si="34"/>
        <v>1885021.2348542446</v>
      </c>
      <c r="T148" s="1"/>
      <c r="U148" s="1">
        <f t="shared" si="35"/>
        <v>93</v>
      </c>
      <c r="V148" s="95">
        <f t="shared" si="36"/>
        <v>16925142.131388657</v>
      </c>
      <c r="W148" s="95">
        <f t="shared" si="37"/>
        <v>218043.20242042193</v>
      </c>
      <c r="X148" s="95">
        <f t="shared" si="38"/>
        <v>16707098.928968234</v>
      </c>
      <c r="Y148" s="95">
        <f t="shared" si="39"/>
        <v>16865629.131242808</v>
      </c>
      <c r="Z148" s="1"/>
      <c r="AA148" s="1"/>
      <c r="AB148" s="1"/>
      <c r="AC148" s="1"/>
      <c r="AD148" s="1"/>
      <c r="AE148" s="1"/>
      <c r="AF148" s="1"/>
      <c r="AG148" s="1"/>
      <c r="AH148" s="1"/>
    </row>
    <row r="149" spans="8:34" x14ac:dyDescent="0.35">
      <c r="H149" s="1"/>
      <c r="I149" s="1"/>
      <c r="J149" s="1"/>
      <c r="K149" s="1"/>
      <c r="L149" s="1"/>
      <c r="M149" s="1"/>
      <c r="N149" s="1"/>
      <c r="O149" s="1">
        <f t="shared" si="30"/>
        <v>94</v>
      </c>
      <c r="P149" s="95">
        <f t="shared" si="31"/>
        <v>1885021.2348542446</v>
      </c>
      <c r="Q149" s="95">
        <f t="shared" si="32"/>
        <v>218931.53741726582</v>
      </c>
      <c r="R149" s="95">
        <f t="shared" si="33"/>
        <v>1666089.6974369788</v>
      </c>
      <c r="S149" s="95">
        <f t="shared" si="34"/>
        <v>1679375.3306514909</v>
      </c>
      <c r="T149" s="1"/>
      <c r="U149" s="1">
        <f t="shared" si="35"/>
        <v>94</v>
      </c>
      <c r="V149" s="95">
        <f t="shared" si="36"/>
        <v>16865629.131242808</v>
      </c>
      <c r="W149" s="95">
        <f t="shared" si="37"/>
        <v>218931.53741726582</v>
      </c>
      <c r="X149" s="95">
        <f t="shared" si="38"/>
        <v>16646697.593825541</v>
      </c>
      <c r="Y149" s="95">
        <f t="shared" si="39"/>
        <v>16804654.660337973</v>
      </c>
      <c r="Z149" s="1"/>
      <c r="AA149" s="1"/>
      <c r="AB149" s="1"/>
      <c r="AC149" s="1"/>
      <c r="AD149" s="1"/>
      <c r="AE149" s="1"/>
      <c r="AF149" s="1"/>
      <c r="AG149" s="1"/>
      <c r="AH149" s="1"/>
    </row>
    <row r="150" spans="8:34" x14ac:dyDescent="0.35">
      <c r="H150" s="1"/>
      <c r="I150" s="1"/>
      <c r="J150" s="1"/>
      <c r="K150" s="1"/>
      <c r="L150" s="1"/>
      <c r="M150" s="1"/>
      <c r="N150" s="1"/>
      <c r="O150" s="1">
        <f t="shared" si="30"/>
        <v>95</v>
      </c>
      <c r="P150" s="95">
        <f t="shared" si="31"/>
        <v>1679375.3306514909</v>
      </c>
      <c r="Q150" s="95">
        <f t="shared" si="32"/>
        <v>219823.49160084821</v>
      </c>
      <c r="R150" s="95">
        <f t="shared" si="33"/>
        <v>1459551.8390506427</v>
      </c>
      <c r="S150" s="95">
        <f t="shared" si="34"/>
        <v>1471190.5103784972</v>
      </c>
      <c r="T150" s="1"/>
      <c r="U150" s="1">
        <f t="shared" si="35"/>
        <v>95</v>
      </c>
      <c r="V150" s="95">
        <f t="shared" si="36"/>
        <v>16804654.660337973</v>
      </c>
      <c r="W150" s="95">
        <f t="shared" si="37"/>
        <v>219823.49160084821</v>
      </c>
      <c r="X150" s="95">
        <f t="shared" si="38"/>
        <v>16584831.168737125</v>
      </c>
      <c r="Y150" s="95">
        <f t="shared" si="39"/>
        <v>16742201.19755229</v>
      </c>
      <c r="Z150" s="1"/>
      <c r="AA150" s="1"/>
      <c r="AB150" s="1"/>
      <c r="AC150" s="1"/>
      <c r="AD150" s="1"/>
      <c r="AE150" s="1"/>
      <c r="AF150" s="1"/>
      <c r="AG150" s="1"/>
      <c r="AH150" s="1"/>
    </row>
    <row r="151" spans="8:34" x14ac:dyDescent="0.35">
      <c r="H151" s="1"/>
      <c r="I151" s="1"/>
      <c r="J151" s="1"/>
      <c r="K151" s="1"/>
      <c r="L151" s="1"/>
      <c r="M151" s="1"/>
      <c r="N151" s="1"/>
      <c r="O151" s="1">
        <f t="shared" si="30"/>
        <v>96</v>
      </c>
      <c r="P151" s="95">
        <f t="shared" si="31"/>
        <v>1471190.5103784972</v>
      </c>
      <c r="Q151" s="95">
        <f t="shared" si="32"/>
        <v>220719.07971618386</v>
      </c>
      <c r="R151" s="95">
        <f t="shared" si="33"/>
        <v>1250471.4306623132</v>
      </c>
      <c r="S151" s="95">
        <f t="shared" si="34"/>
        <v>1260442.8654527466</v>
      </c>
      <c r="T151" s="1"/>
      <c r="U151" s="1">
        <f t="shared" si="35"/>
        <v>96</v>
      </c>
      <c r="V151" s="95">
        <f t="shared" si="36"/>
        <v>16742201.19755229</v>
      </c>
      <c r="W151" s="95">
        <f t="shared" si="37"/>
        <v>220719.07971618386</v>
      </c>
      <c r="X151" s="95">
        <f t="shared" si="38"/>
        <v>16521482.117836107</v>
      </c>
      <c r="Y151" s="95">
        <f t="shared" si="39"/>
        <v>16678251.040624671</v>
      </c>
      <c r="Z151" s="1"/>
      <c r="AA151" s="1"/>
      <c r="AB151" s="1"/>
      <c r="AC151" s="1"/>
      <c r="AD151" s="1"/>
      <c r="AE151" s="1"/>
      <c r="AF151" s="1"/>
      <c r="AG151" s="1"/>
      <c r="AH151" s="1"/>
    </row>
    <row r="152" spans="8:34" x14ac:dyDescent="0.35">
      <c r="H152" s="1"/>
      <c r="I152" s="1"/>
      <c r="J152" s="1"/>
      <c r="K152" s="1"/>
      <c r="L152" s="1"/>
      <c r="M152" s="1"/>
      <c r="N152" s="1"/>
      <c r="O152" s="1">
        <f t="shared" si="30"/>
        <v>97</v>
      </c>
      <c r="P152" s="95">
        <f t="shared" si="31"/>
        <v>1260442.8654527466</v>
      </c>
      <c r="Q152" s="95">
        <f t="shared" si="32"/>
        <v>221618.31656836055</v>
      </c>
      <c r="R152" s="95">
        <f t="shared" si="33"/>
        <v>1038824.5488843861</v>
      </c>
      <c r="S152" s="95">
        <f t="shared" si="34"/>
        <v>1047108.2817181827</v>
      </c>
      <c r="T152" s="1"/>
      <c r="U152" s="1">
        <f t="shared" si="35"/>
        <v>97</v>
      </c>
      <c r="V152" s="95">
        <f t="shared" si="36"/>
        <v>16678251.040624671</v>
      </c>
      <c r="W152" s="95">
        <f t="shared" si="37"/>
        <v>221618.31656836055</v>
      </c>
      <c r="X152" s="95">
        <f t="shared" si="38"/>
        <v>16456632.724056311</v>
      </c>
      <c r="Y152" s="95">
        <f t="shared" si="39"/>
        <v>16612786.304375365</v>
      </c>
      <c r="Z152" s="1"/>
      <c r="AA152" s="1"/>
      <c r="AB152" s="1"/>
      <c r="AC152" s="1"/>
      <c r="AD152" s="1"/>
      <c r="AE152" s="1"/>
      <c r="AF152" s="1"/>
      <c r="AG152" s="1"/>
      <c r="AH152" s="1"/>
    </row>
    <row r="153" spans="8:34" x14ac:dyDescent="0.35">
      <c r="H153" s="1"/>
      <c r="I153" s="1"/>
      <c r="J153" s="1"/>
      <c r="K153" s="1"/>
      <c r="L153" s="1"/>
      <c r="M153" s="1"/>
      <c r="N153" s="1"/>
      <c r="O153" s="1">
        <f t="shared" si="30"/>
        <v>98</v>
      </c>
      <c r="P153" s="95">
        <f t="shared" si="31"/>
        <v>1047108.2817181827</v>
      </c>
      <c r="Q153" s="95">
        <f t="shared" si="32"/>
        <v>222521.21702278382</v>
      </c>
      <c r="R153" s="95">
        <f t="shared" si="33"/>
        <v>824587.06469539891</v>
      </c>
      <c r="S153" s="95">
        <f t="shared" si="34"/>
        <v>831162.43774513761</v>
      </c>
      <c r="T153" s="1"/>
      <c r="U153" s="1">
        <f t="shared" si="35"/>
        <v>98</v>
      </c>
      <c r="V153" s="95">
        <f t="shared" si="36"/>
        <v>16612786.304375365</v>
      </c>
      <c r="W153" s="95">
        <f t="shared" si="37"/>
        <v>222521.21702278382</v>
      </c>
      <c r="X153" s="95">
        <f t="shared" si="38"/>
        <v>16390265.087352581</v>
      </c>
      <c r="Y153" s="95">
        <f t="shared" si="39"/>
        <v>16545788.918909395</v>
      </c>
      <c r="Z153" s="1"/>
      <c r="AA153" s="1"/>
      <c r="AB153" s="1"/>
      <c r="AC153" s="1"/>
      <c r="AD153" s="1"/>
      <c r="AE153" s="1"/>
      <c r="AF153" s="1"/>
      <c r="AG153" s="1"/>
      <c r="AH153" s="1"/>
    </row>
    <row r="154" spans="8:34" x14ac:dyDescent="0.35">
      <c r="H154" s="1"/>
      <c r="I154" s="1"/>
      <c r="J154" s="1"/>
      <c r="K154" s="1"/>
      <c r="L154" s="1"/>
      <c r="M154" s="1"/>
      <c r="N154" s="1"/>
      <c r="O154" s="1">
        <f t="shared" si="30"/>
        <v>99</v>
      </c>
      <c r="P154" s="95">
        <f t="shared" si="31"/>
        <v>831162.43774513761</v>
      </c>
      <c r="Q154" s="95">
        <f t="shared" si="32"/>
        <v>223427.79600542272</v>
      </c>
      <c r="R154" s="95">
        <f t="shared" si="33"/>
        <v>607734.64173971489</v>
      </c>
      <c r="S154" s="95">
        <f t="shared" si="34"/>
        <v>612580.80311645684</v>
      </c>
      <c r="T154" s="1"/>
      <c r="U154" s="1">
        <f t="shared" si="35"/>
        <v>99</v>
      </c>
      <c r="V154" s="95">
        <f t="shared" si="36"/>
        <v>16545788.918909395</v>
      </c>
      <c r="W154" s="95">
        <f t="shared" si="37"/>
        <v>223427.79600542272</v>
      </c>
      <c r="X154" s="95">
        <f t="shared" si="38"/>
        <v>16322361.122903973</v>
      </c>
      <c r="Y154" s="95">
        <f t="shared" si="39"/>
        <v>16477240.627802698</v>
      </c>
      <c r="Z154" s="1"/>
      <c r="AA154" s="1"/>
      <c r="AB154" s="1"/>
      <c r="AC154" s="1"/>
      <c r="AD154" s="1"/>
      <c r="AE154" s="1"/>
      <c r="AF154" s="1"/>
      <c r="AG154" s="1"/>
      <c r="AH154" s="1"/>
    </row>
    <row r="155" spans="8:34" x14ac:dyDescent="0.35">
      <c r="H155" s="1"/>
      <c r="I155" s="1"/>
      <c r="J155" s="1"/>
      <c r="K155" s="1"/>
      <c r="L155" s="1"/>
      <c r="M155" s="1"/>
      <c r="N155" s="1"/>
      <c r="O155" s="1">
        <f t="shared" si="30"/>
        <v>100</v>
      </c>
      <c r="P155" s="95">
        <f t="shared" si="31"/>
        <v>612580.80311645684</v>
      </c>
      <c r="Q155" s="95">
        <f t="shared" si="32"/>
        <v>224338.06850305654</v>
      </c>
      <c r="R155" s="95">
        <f t="shared" si="33"/>
        <v>388242.7346134003</v>
      </c>
      <c r="S155" s="95">
        <f t="shared" si="34"/>
        <v>391338.63669970917</v>
      </c>
      <c r="T155" s="1"/>
      <c r="U155" s="1">
        <f t="shared" si="35"/>
        <v>100</v>
      </c>
      <c r="V155" s="95">
        <f t="shared" si="36"/>
        <v>16477240.627802698</v>
      </c>
      <c r="W155" s="95">
        <f t="shared" si="37"/>
        <v>224338.06850305654</v>
      </c>
      <c r="X155" s="95">
        <f t="shared" si="38"/>
        <v>16252902.559299642</v>
      </c>
      <c r="Y155" s="95">
        <f t="shared" si="39"/>
        <v>16407122.986270791</v>
      </c>
      <c r="Z155" s="1"/>
      <c r="AA155" s="1"/>
      <c r="AB155" s="1"/>
      <c r="AC155" s="1"/>
      <c r="AD155" s="1"/>
      <c r="AE155" s="1"/>
      <c r="AF155" s="1"/>
      <c r="AG155" s="1"/>
      <c r="AH155" s="1"/>
    </row>
    <row r="156" spans="8:34" x14ac:dyDescent="0.35">
      <c r="H156" s="1"/>
      <c r="I156" s="1"/>
      <c r="J156" s="1"/>
      <c r="K156" s="1"/>
      <c r="L156" s="1"/>
      <c r="M156" s="1"/>
      <c r="N156" s="1"/>
      <c r="O156" s="1">
        <f t="shared" si="30"/>
        <v>101</v>
      </c>
      <c r="P156" s="95">
        <f t="shared" si="31"/>
        <v>391338.63669970917</v>
      </c>
      <c r="Q156" s="95">
        <f t="shared" si="32"/>
        <v>225252.04956352257</v>
      </c>
      <c r="R156" s="95">
        <f t="shared" si="33"/>
        <v>166086.5871361866</v>
      </c>
      <c r="S156" s="95">
        <f t="shared" si="34"/>
        <v>167410.98490536792</v>
      </c>
      <c r="T156" s="1"/>
      <c r="U156" s="1">
        <f t="shared" si="35"/>
        <v>101</v>
      </c>
      <c r="V156" s="95">
        <f t="shared" si="36"/>
        <v>16407122.986270791</v>
      </c>
      <c r="W156" s="95">
        <f t="shared" si="37"/>
        <v>225252.04956352257</v>
      </c>
      <c r="X156" s="95">
        <f t="shared" si="38"/>
        <v>16181870.936707268</v>
      </c>
      <c r="Y156" s="95">
        <f t="shared" si="39"/>
        <v>16335417.35931983</v>
      </c>
      <c r="Z156" s="1"/>
      <c r="AA156" s="1"/>
      <c r="AB156" s="1"/>
      <c r="AC156" s="1"/>
      <c r="AD156" s="1"/>
      <c r="AE156" s="1"/>
      <c r="AF156" s="1"/>
      <c r="AG156" s="1"/>
      <c r="AH156" s="1"/>
    </row>
    <row r="157" spans="8:34" x14ac:dyDescent="0.35">
      <c r="H157" s="1"/>
      <c r="I157" s="1"/>
      <c r="J157" s="1"/>
      <c r="K157" s="1"/>
      <c r="L157" s="1"/>
      <c r="M157" s="1"/>
      <c r="N157" s="1"/>
      <c r="O157" s="1">
        <f t="shared" si="30"/>
        <v>102</v>
      </c>
      <c r="P157" s="95">
        <f t="shared" si="31"/>
        <v>167410.98490536792</v>
      </c>
      <c r="Q157" s="95">
        <f t="shared" si="32"/>
        <v>226169.75429596484</v>
      </c>
      <c r="R157" s="95">
        <f t="shared" si="33"/>
        <v>-58758.769390596921</v>
      </c>
      <c r="S157" s="95">
        <f t="shared" si="34"/>
        <v>-59227.320069147114</v>
      </c>
      <c r="T157" s="1"/>
      <c r="U157" s="1">
        <f t="shared" si="35"/>
        <v>102</v>
      </c>
      <c r="V157" s="95">
        <f t="shared" si="36"/>
        <v>16335417.35931983</v>
      </c>
      <c r="W157" s="95">
        <f t="shared" si="37"/>
        <v>226169.75429596484</v>
      </c>
      <c r="X157" s="95">
        <f t="shared" si="38"/>
        <v>16109247.605023865</v>
      </c>
      <c r="Y157" s="95">
        <f t="shared" si="39"/>
        <v>16262104.919879863</v>
      </c>
      <c r="Z157" s="1"/>
      <c r="AA157" s="1"/>
      <c r="AB157" s="1"/>
      <c r="AC157" s="1"/>
      <c r="AD157" s="1"/>
      <c r="AE157" s="1"/>
      <c r="AF157" s="1"/>
      <c r="AG157" s="1"/>
      <c r="AH157" s="1"/>
    </row>
    <row r="158" spans="8:34" x14ac:dyDescent="0.35">
      <c r="H158" s="1"/>
      <c r="I158" s="1"/>
      <c r="J158" s="1"/>
      <c r="K158" s="1"/>
      <c r="L158" s="1"/>
      <c r="M158" s="1"/>
      <c r="N158" s="1"/>
      <c r="O158" s="1">
        <f t="shared" si="30"/>
        <v>103</v>
      </c>
      <c r="P158" s="95">
        <f t="shared" si="31"/>
        <v>-59227.320069147114</v>
      </c>
      <c r="Q158" s="95">
        <f t="shared" si="32"/>
        <v>227091.19787108395</v>
      </c>
      <c r="R158" s="95">
        <f t="shared" si="33"/>
        <v>-286318.51794023108</v>
      </c>
      <c r="S158" s="95">
        <f t="shared" si="34"/>
        <v>-288601.6620096821</v>
      </c>
      <c r="T158" s="1"/>
      <c r="U158" s="1">
        <f t="shared" si="35"/>
        <v>103</v>
      </c>
      <c r="V158" s="95">
        <f t="shared" si="36"/>
        <v>16262104.919879863</v>
      </c>
      <c r="W158" s="95">
        <f t="shared" si="37"/>
        <v>227091.19787108395</v>
      </c>
      <c r="X158" s="95">
        <f t="shared" si="38"/>
        <v>16035013.72200878</v>
      </c>
      <c r="Y158" s="95">
        <f t="shared" si="39"/>
        <v>16187166.646920118</v>
      </c>
      <c r="Z158" s="1"/>
      <c r="AA158" s="1"/>
      <c r="AB158" s="1"/>
      <c r="AC158" s="1"/>
      <c r="AD158" s="1"/>
      <c r="AE158" s="1"/>
      <c r="AF158" s="1"/>
      <c r="AG158" s="1"/>
      <c r="AH158" s="1"/>
    </row>
    <row r="159" spans="8:34" x14ac:dyDescent="0.35">
      <c r="H159" s="1"/>
      <c r="I159" s="1"/>
      <c r="J159" s="1"/>
      <c r="K159" s="1"/>
      <c r="L159" s="1"/>
      <c r="M159" s="1"/>
      <c r="N159" s="1"/>
      <c r="O159" s="1">
        <f t="shared" si="30"/>
        <v>104</v>
      </c>
      <c r="P159" s="95">
        <f t="shared" si="31"/>
        <v>-288601.6620096821</v>
      </c>
      <c r="Q159" s="95">
        <f t="shared" si="32"/>
        <v>228016.39552138772</v>
      </c>
      <c r="R159" s="95">
        <f t="shared" si="33"/>
        <v>-516618.05753106985</v>
      </c>
      <c r="S159" s="95">
        <f t="shared" si="34"/>
        <v>-520737.64246993006</v>
      </c>
      <c r="T159" s="1"/>
      <c r="U159" s="1">
        <f t="shared" si="35"/>
        <v>104</v>
      </c>
      <c r="V159" s="95">
        <f t="shared" si="36"/>
        <v>16187166.646920118</v>
      </c>
      <c r="W159" s="95">
        <f t="shared" si="37"/>
        <v>228016.39552138772</v>
      </c>
      <c r="X159" s="95">
        <f t="shared" si="38"/>
        <v>15959150.251398731</v>
      </c>
      <c r="Y159" s="95">
        <f t="shared" si="39"/>
        <v>16110583.323546153</v>
      </c>
      <c r="Z159" s="1"/>
      <c r="AA159" s="1"/>
      <c r="AB159" s="1"/>
      <c r="AC159" s="1"/>
      <c r="AD159" s="1"/>
      <c r="AE159" s="1"/>
      <c r="AF159" s="1"/>
      <c r="AG159" s="1"/>
      <c r="AH159" s="1"/>
    </row>
    <row r="160" spans="8:34" x14ac:dyDescent="0.35">
      <c r="H160" s="1"/>
      <c r="I160" s="1"/>
      <c r="J160" s="1"/>
      <c r="K160" s="1"/>
      <c r="L160" s="1"/>
      <c r="M160" s="1"/>
      <c r="N160" s="1"/>
      <c r="O160" s="1">
        <f t="shared" si="30"/>
        <v>105</v>
      </c>
      <c r="P160" s="95">
        <f t="shared" si="31"/>
        <v>-520737.64246993006</v>
      </c>
      <c r="Q160" s="95">
        <f t="shared" si="32"/>
        <v>228945.36254144317</v>
      </c>
      <c r="R160" s="95">
        <f t="shared" si="33"/>
        <v>-749683.0050113732</v>
      </c>
      <c r="S160" s="95">
        <f t="shared" si="34"/>
        <v>-755661.08257049648</v>
      </c>
      <c r="T160" s="1"/>
      <c r="U160" s="1">
        <f t="shared" si="35"/>
        <v>105</v>
      </c>
      <c r="V160" s="95">
        <f t="shared" si="36"/>
        <v>16110583.323546153</v>
      </c>
      <c r="W160" s="95">
        <f t="shared" si="37"/>
        <v>228945.36254144317</v>
      </c>
      <c r="X160" s="95">
        <f t="shared" si="38"/>
        <v>15881637.96100471</v>
      </c>
      <c r="Y160" s="95">
        <f t="shared" si="39"/>
        <v>16032335.535078697</v>
      </c>
      <c r="Z160" s="1"/>
      <c r="AA160" s="1"/>
      <c r="AB160" s="1"/>
      <c r="AC160" s="1"/>
      <c r="AD160" s="1"/>
      <c r="AE160" s="1"/>
      <c r="AF160" s="1"/>
      <c r="AG160" s="1"/>
      <c r="AH160" s="1"/>
    </row>
    <row r="161" spans="8:34" x14ac:dyDescent="0.35">
      <c r="H161" s="1"/>
      <c r="I161" s="1"/>
      <c r="J161" s="1"/>
      <c r="K161" s="1"/>
      <c r="L161" s="1"/>
      <c r="M161" s="1"/>
      <c r="N161" s="1"/>
      <c r="O161" s="1">
        <f t="shared" si="30"/>
        <v>106</v>
      </c>
      <c r="P161" s="95">
        <f t="shared" si="31"/>
        <v>-755661.08257049648</v>
      </c>
      <c r="Q161" s="95">
        <f t="shared" si="32"/>
        <v>229878.11428812926</v>
      </c>
      <c r="R161" s="95">
        <f t="shared" si="33"/>
        <v>-985539.19685862574</v>
      </c>
      <c r="S161" s="95">
        <f t="shared" si="34"/>
        <v>-993398.02481256542</v>
      </c>
      <c r="T161" s="1"/>
      <c r="U161" s="1">
        <f t="shared" si="35"/>
        <v>106</v>
      </c>
      <c r="V161" s="95">
        <f t="shared" si="36"/>
        <v>16032335.535078697</v>
      </c>
      <c r="W161" s="95">
        <f t="shared" si="37"/>
        <v>229878.11428812926</v>
      </c>
      <c r="X161" s="95">
        <f t="shared" si="38"/>
        <v>15802457.420790568</v>
      </c>
      <c r="Y161" s="95">
        <f t="shared" si="39"/>
        <v>15952403.667114016</v>
      </c>
      <c r="Z161" s="1"/>
      <c r="AA161" s="1"/>
      <c r="AB161" s="1"/>
      <c r="AC161" s="1"/>
      <c r="AD161" s="1"/>
      <c r="AE161" s="1"/>
      <c r="AF161" s="1"/>
      <c r="AG161" s="1"/>
      <c r="AH161" s="1"/>
    </row>
    <row r="162" spans="8:34" x14ac:dyDescent="0.35">
      <c r="H162" s="1"/>
      <c r="I162" s="1"/>
      <c r="J162" s="1"/>
      <c r="K162" s="1"/>
      <c r="L162" s="1"/>
      <c r="M162" s="1"/>
      <c r="N162" s="1"/>
      <c r="O162" s="1">
        <f t="shared" si="30"/>
        <v>107</v>
      </c>
      <c r="P162" s="95">
        <f t="shared" si="31"/>
        <v>-993398.02481256542</v>
      </c>
      <c r="Q162" s="95">
        <f t="shared" si="32"/>
        <v>230814.66618089075</v>
      </c>
      <c r="R162" s="95">
        <f t="shared" si="33"/>
        <v>-1224212.6909934562</v>
      </c>
      <c r="S162" s="95">
        <f t="shared" si="34"/>
        <v>-1233974.7349062841</v>
      </c>
      <c r="T162" s="1"/>
      <c r="U162" s="1">
        <f t="shared" si="35"/>
        <v>107</v>
      </c>
      <c r="V162" s="95">
        <f t="shared" si="36"/>
        <v>15952403.667114016</v>
      </c>
      <c r="W162" s="95">
        <f t="shared" si="37"/>
        <v>230814.66618089075</v>
      </c>
      <c r="X162" s="95">
        <f t="shared" si="38"/>
        <v>15721589.000933126</v>
      </c>
      <c r="Y162" s="95">
        <f t="shared" si="39"/>
        <v>15870767.903565599</v>
      </c>
      <c r="Z162" s="1"/>
      <c r="AA162" s="1"/>
      <c r="AB162" s="1"/>
      <c r="AC162" s="1"/>
      <c r="AD162" s="1"/>
      <c r="AE162" s="1"/>
      <c r="AF162" s="1"/>
      <c r="AG162" s="1"/>
      <c r="AH162" s="1"/>
    </row>
    <row r="163" spans="8:34" x14ac:dyDescent="0.35">
      <c r="H163" s="1"/>
      <c r="I163" s="1"/>
      <c r="J163" s="1"/>
      <c r="K163" s="1"/>
      <c r="L163" s="1"/>
      <c r="M163" s="1"/>
      <c r="N163" s="1"/>
      <c r="O163" s="1">
        <f t="shared" si="30"/>
        <v>108</v>
      </c>
      <c r="P163" s="95">
        <f t="shared" si="31"/>
        <v>-1233974.7349062841</v>
      </c>
      <c r="Q163" s="95">
        <f t="shared" si="32"/>
        <v>231755.03370199318</v>
      </c>
      <c r="R163" s="95">
        <f t="shared" si="33"/>
        <v>-1465729.7686082772</v>
      </c>
      <c r="S163" s="95">
        <f t="shared" si="34"/>
        <v>-1477417.7036139842</v>
      </c>
      <c r="T163" s="1"/>
      <c r="U163" s="1">
        <f t="shared" si="35"/>
        <v>108</v>
      </c>
      <c r="V163" s="95">
        <f t="shared" si="36"/>
        <v>15870767.903565599</v>
      </c>
      <c r="W163" s="95">
        <f t="shared" si="37"/>
        <v>231755.03370199318</v>
      </c>
      <c r="X163" s="95">
        <f t="shared" si="38"/>
        <v>15639012.869863605</v>
      </c>
      <c r="Y163" s="95">
        <f t="shared" si="39"/>
        <v>15787408.224687019</v>
      </c>
      <c r="Z163" s="1"/>
      <c r="AA163" s="1"/>
      <c r="AB163" s="1"/>
      <c r="AC163" s="1"/>
      <c r="AD163" s="1"/>
      <c r="AE163" s="1"/>
      <c r="AF163" s="1"/>
      <c r="AG163" s="1"/>
      <c r="AH163" s="1"/>
    </row>
    <row r="164" spans="8:34" x14ac:dyDescent="0.35">
      <c r="H164" s="1"/>
      <c r="I164" s="1"/>
      <c r="J164" s="1"/>
      <c r="K164" s="1"/>
      <c r="L164" s="1"/>
      <c r="M164" s="1"/>
      <c r="N164" s="1"/>
      <c r="O164" s="1">
        <f t="shared" si="30"/>
        <v>109</v>
      </c>
      <c r="P164" s="95">
        <f t="shared" si="31"/>
        <v>-1477417.7036139842</v>
      </c>
      <c r="Q164" s="95">
        <f t="shared" si="32"/>
        <v>232699.23239677868</v>
      </c>
      <c r="R164" s="95">
        <f t="shared" si="33"/>
        <v>-1710116.9360107628</v>
      </c>
      <c r="S164" s="95">
        <f t="shared" si="34"/>
        <v>-1723753.6486083593</v>
      </c>
      <c r="T164" s="1"/>
      <c r="U164" s="1">
        <f t="shared" si="35"/>
        <v>109</v>
      </c>
      <c r="V164" s="95">
        <f t="shared" si="36"/>
        <v>15787408.224687019</v>
      </c>
      <c r="W164" s="95">
        <f t="shared" si="37"/>
        <v>232699.23239677868</v>
      </c>
      <c r="X164" s="95">
        <f t="shared" si="38"/>
        <v>15554708.99229024</v>
      </c>
      <c r="Y164" s="95">
        <f t="shared" si="39"/>
        <v>15702304.405075779</v>
      </c>
      <c r="Z164" s="1"/>
      <c r="AA164" s="1"/>
      <c r="AB164" s="1"/>
      <c r="AC164" s="1"/>
      <c r="AD164" s="1"/>
      <c r="AE164" s="1"/>
      <c r="AF164" s="1"/>
      <c r="AG164" s="1"/>
      <c r="AH164" s="1"/>
    </row>
    <row r="165" spans="8:34" x14ac:dyDescent="0.35">
      <c r="H165" s="1"/>
      <c r="I165" s="1"/>
      <c r="J165" s="1"/>
      <c r="K165" s="1"/>
      <c r="L165" s="1"/>
      <c r="M165" s="1"/>
      <c r="N165" s="1"/>
      <c r="O165" s="1">
        <f t="shared" si="30"/>
        <v>110</v>
      </c>
      <c r="P165" s="95">
        <f t="shared" si="31"/>
        <v>-1723753.6486083593</v>
      </c>
      <c r="Q165" s="95">
        <f t="shared" si="32"/>
        <v>233647.2778739231</v>
      </c>
      <c r="R165" s="95">
        <f t="shared" si="33"/>
        <v>-1957400.9264822823</v>
      </c>
      <c r="S165" s="95">
        <f t="shared" si="34"/>
        <v>-1973009.5163457184</v>
      </c>
      <c r="T165" s="1"/>
      <c r="U165" s="1">
        <f t="shared" si="35"/>
        <v>110</v>
      </c>
      <c r="V165" s="95">
        <f t="shared" si="36"/>
        <v>15702304.405075779</v>
      </c>
      <c r="W165" s="95">
        <f t="shared" si="37"/>
        <v>233647.2778739231</v>
      </c>
      <c r="X165" s="95">
        <f t="shared" si="38"/>
        <v>15468657.127201855</v>
      </c>
      <c r="Y165" s="95">
        <f t="shared" si="39"/>
        <v>15615436.011657936</v>
      </c>
      <c r="Z165" s="1"/>
      <c r="AA165" s="1"/>
      <c r="AB165" s="1"/>
      <c r="AC165" s="1"/>
      <c r="AD165" s="1"/>
      <c r="AE165" s="1"/>
      <c r="AF165" s="1"/>
      <c r="AG165" s="1"/>
      <c r="AH165" s="1"/>
    </row>
    <row r="166" spans="8:34" x14ac:dyDescent="0.35">
      <c r="H166" s="1"/>
      <c r="I166" s="1"/>
      <c r="J166" s="1"/>
      <c r="K166" s="1"/>
      <c r="L166" s="1"/>
      <c r="M166" s="1"/>
      <c r="N166" s="1"/>
      <c r="O166" s="1">
        <f t="shared" si="30"/>
        <v>111</v>
      </c>
      <c r="P166" s="95">
        <f t="shared" si="31"/>
        <v>-1973009.5163457184</v>
      </c>
      <c r="Q166" s="95">
        <f t="shared" si="32"/>
        <v>234599.18580569394</v>
      </c>
      <c r="R166" s="95">
        <f t="shared" si="33"/>
        <v>-2207608.7021514121</v>
      </c>
      <c r="S166" s="95">
        <f t="shared" si="34"/>
        <v>-2225212.4839544375</v>
      </c>
      <c r="T166" s="1"/>
      <c r="U166" s="1">
        <f t="shared" si="35"/>
        <v>111</v>
      </c>
      <c r="V166" s="95">
        <f t="shared" si="36"/>
        <v>15615436.011657936</v>
      </c>
      <c r="W166" s="95">
        <f t="shared" si="37"/>
        <v>234599.18580569394</v>
      </c>
      <c r="X166" s="95">
        <f t="shared" si="38"/>
        <v>15380836.825852243</v>
      </c>
      <c r="Y166" s="95">
        <f t="shared" si="39"/>
        <v>15526782.401653364</v>
      </c>
      <c r="Z166" s="1"/>
      <c r="AA166" s="1"/>
      <c r="AB166" s="1"/>
      <c r="AC166" s="1"/>
      <c r="AD166" s="1"/>
      <c r="AE166" s="1"/>
      <c r="AF166" s="1"/>
      <c r="AG166" s="1"/>
      <c r="AH166" s="1"/>
    </row>
    <row r="167" spans="8:34" x14ac:dyDescent="0.35">
      <c r="H167" s="1"/>
      <c r="I167" s="1"/>
      <c r="J167" s="1"/>
      <c r="K167" s="1"/>
      <c r="L167" s="1"/>
      <c r="M167" s="1"/>
      <c r="N167" s="1"/>
      <c r="O167" s="1">
        <f t="shared" si="30"/>
        <v>112</v>
      </c>
      <c r="P167" s="95">
        <f t="shared" si="31"/>
        <v>-2225212.4839544375</v>
      </c>
      <c r="Q167" s="95">
        <f t="shared" si="32"/>
        <v>235554.97192820944</v>
      </c>
      <c r="R167" s="95">
        <f t="shared" si="33"/>
        <v>-2460767.4558826471</v>
      </c>
      <c r="S167" s="95">
        <f t="shared" si="34"/>
        <v>-2480389.9611387313</v>
      </c>
      <c r="T167" s="1"/>
      <c r="U167" s="1">
        <f t="shared" si="35"/>
        <v>112</v>
      </c>
      <c r="V167" s="95">
        <f t="shared" si="36"/>
        <v>15526782.401653364</v>
      </c>
      <c r="W167" s="95">
        <f t="shared" si="37"/>
        <v>235554.97192820944</v>
      </c>
      <c r="X167" s="95">
        <f t="shared" si="38"/>
        <v>15291227.429725155</v>
      </c>
      <c r="Y167" s="95">
        <f t="shared" si="39"/>
        <v>15436322.720521433</v>
      </c>
      <c r="Z167" s="1"/>
      <c r="AA167" s="1"/>
      <c r="AB167" s="1"/>
      <c r="AC167" s="1"/>
      <c r="AD167" s="1"/>
      <c r="AE167" s="1"/>
      <c r="AF167" s="1"/>
      <c r="AG167" s="1"/>
      <c r="AH167" s="1"/>
    </row>
    <row r="168" spans="8:34" x14ac:dyDescent="0.35">
      <c r="H168" s="1"/>
      <c r="I168" s="1"/>
      <c r="J168" s="1"/>
      <c r="K168" s="1"/>
      <c r="L168" s="1"/>
      <c r="M168" s="1"/>
      <c r="N168" s="1"/>
      <c r="O168" s="1">
        <f t="shared" si="30"/>
        <v>113</v>
      </c>
      <c r="P168" s="95">
        <f t="shared" si="31"/>
        <v>-2480389.9611387313</v>
      </c>
      <c r="Q168" s="95">
        <f t="shared" si="32"/>
        <v>236514.65204169878</v>
      </c>
      <c r="R168" s="95">
        <f t="shared" si="33"/>
        <v>-2716904.6131804301</v>
      </c>
      <c r="S168" s="95">
        <f t="shared" si="34"/>
        <v>-2738569.5920978673</v>
      </c>
      <c r="T168" s="1"/>
      <c r="U168" s="1">
        <f t="shared" si="35"/>
        <v>113</v>
      </c>
      <c r="V168" s="95">
        <f t="shared" si="36"/>
        <v>15436322.720521433</v>
      </c>
      <c r="W168" s="95">
        <f t="shared" si="37"/>
        <v>236514.65204169878</v>
      </c>
      <c r="X168" s="95">
        <f t="shared" si="38"/>
        <v>15199808.068479735</v>
      </c>
      <c r="Y168" s="95">
        <f t="shared" si="39"/>
        <v>15344035.899886943</v>
      </c>
      <c r="Z168" s="1"/>
      <c r="AA168" s="1"/>
      <c r="AB168" s="1"/>
      <c r="AC168" s="1"/>
      <c r="AD168" s="1"/>
      <c r="AE168" s="1"/>
      <c r="AF168" s="1"/>
      <c r="AG168" s="1"/>
      <c r="AH168" s="1"/>
    </row>
    <row r="169" spans="8:34" x14ac:dyDescent="0.35">
      <c r="H169" s="1"/>
      <c r="I169" s="1"/>
      <c r="J169" s="1"/>
      <c r="K169" s="1"/>
      <c r="L169" s="1"/>
      <c r="M169" s="1"/>
      <c r="N169" s="1"/>
      <c r="O169" s="1">
        <f t="shared" si="30"/>
        <v>114</v>
      </c>
      <c r="P169" s="95">
        <f t="shared" si="31"/>
        <v>-2738569.5920978673</v>
      </c>
      <c r="Q169" s="95">
        <f t="shared" si="32"/>
        <v>237478.24201076318</v>
      </c>
      <c r="R169" s="95">
        <f t="shared" si="33"/>
        <v>-2976047.8341086307</v>
      </c>
      <c r="S169" s="95">
        <f t="shared" si="34"/>
        <v>-2999779.2574609476</v>
      </c>
      <c r="T169" s="1"/>
      <c r="U169" s="1">
        <f t="shared" si="35"/>
        <v>114</v>
      </c>
      <c r="V169" s="95">
        <f t="shared" si="36"/>
        <v>15344035.899886943</v>
      </c>
      <c r="W169" s="95">
        <f t="shared" si="37"/>
        <v>237478.24201076318</v>
      </c>
      <c r="X169" s="95">
        <f t="shared" si="38"/>
        <v>15106557.65787618</v>
      </c>
      <c r="Y169" s="95">
        <f t="shared" si="39"/>
        <v>15249900.655446107</v>
      </c>
      <c r="Z169" s="1"/>
      <c r="AA169" s="1"/>
      <c r="AB169" s="1"/>
      <c r="AC169" s="1"/>
      <c r="AD169" s="1"/>
      <c r="AE169" s="1"/>
      <c r="AF169" s="1"/>
      <c r="AG169" s="1"/>
      <c r="AH169" s="1"/>
    </row>
    <row r="170" spans="8:34" x14ac:dyDescent="0.35">
      <c r="H170" s="1"/>
      <c r="I170" s="1"/>
      <c r="J170" s="1"/>
      <c r="K170" s="1"/>
      <c r="L170" s="1"/>
      <c r="M170" s="1"/>
      <c r="N170" s="1"/>
      <c r="O170" s="1">
        <f t="shared" si="30"/>
        <v>115</v>
      </c>
      <c r="P170" s="95">
        <f t="shared" si="31"/>
        <v>-2999779.2574609476</v>
      </c>
      <c r="Q170" s="95">
        <f t="shared" si="32"/>
        <v>238445.75776463823</v>
      </c>
      <c r="R170" s="95">
        <f t="shared" si="33"/>
        <v>-3238225.015225586</v>
      </c>
      <c r="S170" s="95">
        <f t="shared" si="34"/>
        <v>-3264047.0762373838</v>
      </c>
      <c r="T170" s="1"/>
      <c r="U170" s="1">
        <f t="shared" si="35"/>
        <v>115</v>
      </c>
      <c r="V170" s="95">
        <f t="shared" si="36"/>
        <v>15249900.655446107</v>
      </c>
      <c r="W170" s="95">
        <f t="shared" si="37"/>
        <v>238445.75776463823</v>
      </c>
      <c r="X170" s="95">
        <f t="shared" si="38"/>
        <v>15011454.897681469</v>
      </c>
      <c r="Y170" s="95">
        <f t="shared" si="39"/>
        <v>15153895.484852402</v>
      </c>
      <c r="Z170" s="1"/>
      <c r="AA170" s="1"/>
      <c r="AB170" s="1"/>
      <c r="AC170" s="1"/>
      <c r="AD170" s="1"/>
      <c r="AE170" s="1"/>
      <c r="AF170" s="1"/>
      <c r="AG170" s="1"/>
      <c r="AH170" s="1"/>
    </row>
    <row r="171" spans="8:34" x14ac:dyDescent="0.35">
      <c r="H171" s="1"/>
      <c r="I171" s="1"/>
      <c r="J171" s="1"/>
      <c r="K171" s="1"/>
      <c r="L171" s="1"/>
      <c r="M171" s="1"/>
      <c r="N171" s="1"/>
      <c r="O171" s="1">
        <f t="shared" si="30"/>
        <v>116</v>
      </c>
      <c r="P171" s="95">
        <f t="shared" si="31"/>
        <v>-3264047.0762373838</v>
      </c>
      <c r="Q171" s="95">
        <f t="shared" si="32"/>
        <v>239417.21529745718</v>
      </c>
      <c r="R171" s="95">
        <f t="shared" si="33"/>
        <v>-3503464.2915348411</v>
      </c>
      <c r="S171" s="95">
        <f t="shared" si="34"/>
        <v>-3531401.4077831898</v>
      </c>
      <c r="T171" s="1"/>
      <c r="U171" s="1">
        <f t="shared" si="35"/>
        <v>116</v>
      </c>
      <c r="V171" s="95">
        <f t="shared" si="36"/>
        <v>15153895.484852402</v>
      </c>
      <c r="W171" s="95">
        <f t="shared" si="37"/>
        <v>239417.21529745718</v>
      </c>
      <c r="X171" s="95">
        <f t="shared" si="38"/>
        <v>14914478.269554945</v>
      </c>
      <c r="Y171" s="95">
        <f t="shared" si="39"/>
        <v>15055998.665582091</v>
      </c>
      <c r="Z171" s="1"/>
      <c r="AA171" s="1"/>
      <c r="AB171" s="1"/>
      <c r="AC171" s="1"/>
      <c r="AD171" s="1"/>
      <c r="AE171" s="1"/>
      <c r="AF171" s="1"/>
      <c r="AG171" s="1"/>
      <c r="AH171" s="1"/>
    </row>
    <row r="172" spans="8:34" x14ac:dyDescent="0.35">
      <c r="H172" s="1"/>
      <c r="I172" s="1"/>
      <c r="J172" s="1"/>
      <c r="K172" s="1"/>
      <c r="L172" s="1"/>
      <c r="M172" s="1"/>
      <c r="N172" s="1"/>
      <c r="O172" s="1">
        <f t="shared" si="30"/>
        <v>117</v>
      </c>
      <c r="P172" s="95">
        <f t="shared" si="31"/>
        <v>-3531401.4077831898</v>
      </c>
      <c r="Q172" s="95">
        <f t="shared" si="32"/>
        <v>240392.6306685154</v>
      </c>
      <c r="R172" s="95">
        <f t="shared" si="33"/>
        <v>-3771794.0384517051</v>
      </c>
      <c r="S172" s="95">
        <f t="shared" si="34"/>
        <v>-3801870.853783221</v>
      </c>
      <c r="T172" s="1"/>
      <c r="U172" s="1">
        <f t="shared" si="35"/>
        <v>117</v>
      </c>
      <c r="V172" s="95">
        <f t="shared" si="36"/>
        <v>15055998.665582091</v>
      </c>
      <c r="W172" s="95">
        <f t="shared" si="37"/>
        <v>240392.6306685154</v>
      </c>
      <c r="X172" s="95">
        <f t="shared" si="38"/>
        <v>14815606.034913575</v>
      </c>
      <c r="Y172" s="95">
        <f t="shared" si="39"/>
        <v>14956188.252779229</v>
      </c>
      <c r="Z172" s="1"/>
      <c r="AA172" s="1"/>
      <c r="AB172" s="1"/>
      <c r="AC172" s="1"/>
      <c r="AD172" s="1"/>
      <c r="AE172" s="1"/>
      <c r="AF172" s="1"/>
      <c r="AG172" s="1"/>
      <c r="AH172" s="1"/>
    </row>
    <row r="173" spans="8:34" x14ac:dyDescent="0.35">
      <c r="H173" s="1"/>
      <c r="I173" s="1"/>
      <c r="J173" s="1"/>
      <c r="K173" s="1"/>
      <c r="L173" s="1"/>
      <c r="M173" s="1"/>
      <c r="N173" s="1"/>
      <c r="O173" s="1">
        <f t="shared" si="30"/>
        <v>118</v>
      </c>
      <c r="P173" s="95">
        <f t="shared" si="31"/>
        <v>-3801870.853783221</v>
      </c>
      <c r="Q173" s="95">
        <f t="shared" si="32"/>
        <v>241372.02000253578</v>
      </c>
      <c r="R173" s="95">
        <f t="shared" si="33"/>
        <v>-4043242.8737857565</v>
      </c>
      <c r="S173" s="95">
        <f t="shared" si="34"/>
        <v>-4075484.2602494885</v>
      </c>
      <c r="T173" s="1"/>
      <c r="U173" s="1">
        <f t="shared" si="35"/>
        <v>118</v>
      </c>
      <c r="V173" s="95">
        <f t="shared" si="36"/>
        <v>14956188.252779229</v>
      </c>
      <c r="W173" s="95">
        <f t="shared" si="37"/>
        <v>241372.02000253578</v>
      </c>
      <c r="X173" s="95">
        <f t="shared" si="38"/>
        <v>14714816.232776692</v>
      </c>
      <c r="Y173" s="95">
        <f t="shared" si="39"/>
        <v>14854442.077079952</v>
      </c>
      <c r="Z173" s="1"/>
      <c r="AA173" s="1"/>
      <c r="AB173" s="1"/>
      <c r="AC173" s="1"/>
      <c r="AD173" s="1"/>
      <c r="AE173" s="1"/>
      <c r="AF173" s="1"/>
      <c r="AG173" s="1"/>
      <c r="AH173" s="1"/>
    </row>
    <row r="174" spans="8:34" x14ac:dyDescent="0.35">
      <c r="H174" s="1"/>
      <c r="I174" s="1"/>
      <c r="J174" s="1"/>
      <c r="K174" s="1"/>
      <c r="L174" s="1"/>
      <c r="M174" s="1"/>
      <c r="N174" s="1"/>
      <c r="O174" s="1">
        <f t="shared" si="30"/>
        <v>119</v>
      </c>
      <c r="P174" s="95">
        <f t="shared" si="31"/>
        <v>-4075484.2602494885</v>
      </c>
      <c r="Q174" s="95">
        <f t="shared" si="32"/>
        <v>242355.39948993534</v>
      </c>
      <c r="R174" s="95">
        <f t="shared" si="33"/>
        <v>-4317839.6597394235</v>
      </c>
      <c r="S174" s="95">
        <f t="shared" si="34"/>
        <v>-4352270.7195356758</v>
      </c>
      <c r="T174" s="1"/>
      <c r="U174" s="1">
        <f t="shared" si="35"/>
        <v>119</v>
      </c>
      <c r="V174" s="95">
        <f t="shared" si="36"/>
        <v>14854442.077079952</v>
      </c>
      <c r="W174" s="95">
        <f t="shared" si="37"/>
        <v>242355.39948993534</v>
      </c>
      <c r="X174" s="95">
        <f t="shared" si="38"/>
        <v>14612086.677590016</v>
      </c>
      <c r="Y174" s="95">
        <f t="shared" si="39"/>
        <v>14750737.742415847</v>
      </c>
      <c r="Z174" s="1"/>
      <c r="AA174" s="1"/>
      <c r="AB174" s="1"/>
      <c r="AC174" s="1"/>
      <c r="AD174" s="1"/>
      <c r="AE174" s="1"/>
      <c r="AF174" s="1"/>
      <c r="AG174" s="1"/>
      <c r="AH174" s="1"/>
    </row>
    <row r="175" spans="8:34" x14ac:dyDescent="0.35">
      <c r="H175" s="1"/>
      <c r="I175" s="1"/>
      <c r="J175" s="1"/>
      <c r="K175" s="1"/>
      <c r="L175" s="1"/>
      <c r="M175" s="1"/>
      <c r="N175" s="1"/>
      <c r="O175" s="1">
        <f t="shared" si="30"/>
        <v>120</v>
      </c>
      <c r="P175" s="95">
        <f t="shared" si="31"/>
        <v>-4352270.7195356758</v>
      </c>
      <c r="Q175" s="95">
        <f t="shared" si="32"/>
        <v>243342.78538709288</v>
      </c>
      <c r="R175" s="95">
        <f t="shared" si="33"/>
        <v>-4595613.504922769</v>
      </c>
      <c r="S175" s="95">
        <f t="shared" si="34"/>
        <v>-4632259.5723679895</v>
      </c>
      <c r="T175" s="1"/>
      <c r="U175" s="1">
        <f t="shared" si="35"/>
        <v>120</v>
      </c>
      <c r="V175" s="95">
        <f t="shared" si="36"/>
        <v>14750737.742415847</v>
      </c>
      <c r="W175" s="95">
        <f t="shared" si="37"/>
        <v>243342.78538709288</v>
      </c>
      <c r="X175" s="95">
        <f t="shared" si="38"/>
        <v>14507394.957028754</v>
      </c>
      <c r="Y175" s="95">
        <f t="shared" si="39"/>
        <v>14645052.623796213</v>
      </c>
      <c r="Z175" s="1"/>
      <c r="AA175" s="1"/>
      <c r="AB175" s="1"/>
      <c r="AC175" s="1"/>
      <c r="AD175" s="1"/>
      <c r="AE175" s="1"/>
      <c r="AF175" s="1"/>
      <c r="AG175" s="1"/>
      <c r="AH175" s="1"/>
    </row>
    <row r="176" spans="8:34" x14ac:dyDescent="0.35"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>
        <f t="shared" si="35"/>
        <v>121</v>
      </c>
      <c r="V176" s="100">
        <f t="shared" si="36"/>
        <v>14645052.623796213</v>
      </c>
      <c r="W176" s="95">
        <f t="shared" si="37"/>
        <v>244334.19401661766</v>
      </c>
      <c r="X176" s="95">
        <f t="shared" si="38"/>
        <v>14400718.429779597</v>
      </c>
      <c r="Y176" s="95">
        <f t="shared" si="39"/>
        <v>14537363.865069009</v>
      </c>
      <c r="Z176" s="1"/>
      <c r="AA176" s="1"/>
      <c r="AB176" s="1"/>
      <c r="AC176" s="1"/>
      <c r="AD176" s="1"/>
      <c r="AE176" s="1"/>
      <c r="AF176" s="1"/>
      <c r="AG176" s="1"/>
      <c r="AH176" s="1"/>
    </row>
    <row r="177" spans="8:34" x14ac:dyDescent="0.35"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>
        <f t="shared" si="35"/>
        <v>122</v>
      </c>
      <c r="V177" s="95">
        <f t="shared" si="36"/>
        <v>14537363.865069009</v>
      </c>
      <c r="W177" s="95">
        <f t="shared" si="37"/>
        <v>245329.64176761932</v>
      </c>
      <c r="X177" s="95">
        <f t="shared" si="38"/>
        <v>14292034.22330139</v>
      </c>
      <c r="Y177" s="95">
        <f t="shared" si="39"/>
        <v>14427648.376660271</v>
      </c>
      <c r="Z177" s="1"/>
      <c r="AA177" s="1"/>
      <c r="AB177" s="1"/>
      <c r="AC177" s="1"/>
      <c r="AD177" s="1"/>
      <c r="AE177" s="1"/>
      <c r="AF177" s="1"/>
      <c r="AG177" s="1"/>
      <c r="AH177" s="1"/>
    </row>
    <row r="178" spans="8:34" x14ac:dyDescent="0.35"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>
        <f t="shared" si="35"/>
        <v>123</v>
      </c>
      <c r="V178" s="95">
        <f t="shared" si="36"/>
        <v>14427648.376660271</v>
      </c>
      <c r="W178" s="95">
        <f t="shared" si="37"/>
        <v>246329.14509597872</v>
      </c>
      <c r="X178" s="95">
        <f t="shared" si="38"/>
        <v>14181319.231564293</v>
      </c>
      <c r="Y178" s="95">
        <f t="shared" si="39"/>
        <v>14315882.833291827</v>
      </c>
      <c r="Z178" s="1"/>
      <c r="AA178" s="1"/>
      <c r="AB178" s="1"/>
      <c r="AC178" s="1"/>
      <c r="AD178" s="1"/>
      <c r="AE178" s="1"/>
      <c r="AF178" s="1"/>
      <c r="AG178" s="1"/>
      <c r="AH178" s="1"/>
    </row>
    <row r="179" spans="8:34" x14ac:dyDescent="0.35"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>
        <f t="shared" si="35"/>
        <v>124</v>
      </c>
      <c r="V179" s="95">
        <f t="shared" si="36"/>
        <v>14315882.833291827</v>
      </c>
      <c r="W179" s="95">
        <f t="shared" si="37"/>
        <v>247332.72052462</v>
      </c>
      <c r="X179" s="95">
        <f t="shared" si="38"/>
        <v>14068550.112767207</v>
      </c>
      <c r="Y179" s="95">
        <f t="shared" si="39"/>
        <v>14202043.67167706</v>
      </c>
      <c r="Z179" s="1"/>
      <c r="AA179" s="1"/>
      <c r="AB179" s="1"/>
      <c r="AC179" s="1"/>
      <c r="AD179" s="1"/>
      <c r="AE179" s="1"/>
      <c r="AF179" s="1"/>
      <c r="AG179" s="1"/>
      <c r="AH179" s="1"/>
    </row>
    <row r="180" spans="8:34" x14ac:dyDescent="0.35"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>
        <f t="shared" si="35"/>
        <v>125</v>
      </c>
      <c r="V180" s="95">
        <f t="shared" si="36"/>
        <v>14202043.67167706</v>
      </c>
      <c r="W180" s="95">
        <f t="shared" si="37"/>
        <v>248340.38464378382</v>
      </c>
      <c r="X180" s="95">
        <f t="shared" si="38"/>
        <v>13953703.287033277</v>
      </c>
      <c r="Y180" s="95">
        <f t="shared" si="39"/>
        <v>14086107.088194545</v>
      </c>
      <c r="Z180" s="1"/>
      <c r="AA180" s="1"/>
      <c r="AB180" s="1"/>
      <c r="AC180" s="1"/>
      <c r="AD180" s="1"/>
      <c r="AE180" s="1"/>
      <c r="AF180" s="1"/>
      <c r="AG180" s="1"/>
      <c r="AH180" s="1"/>
    </row>
    <row r="181" spans="8:34" x14ac:dyDescent="0.35"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>
        <f t="shared" si="35"/>
        <v>126</v>
      </c>
      <c r="V181" s="95">
        <f t="shared" si="36"/>
        <v>14086107.088194545</v>
      </c>
      <c r="W181" s="95">
        <f t="shared" si="37"/>
        <v>249352.15411130144</v>
      </c>
      <c r="X181" s="95">
        <f t="shared" si="38"/>
        <v>13836754.934083244</v>
      </c>
      <c r="Y181" s="95">
        <f t="shared" si="39"/>
        <v>13968049.036539329</v>
      </c>
      <c r="Z181" s="1"/>
      <c r="AA181" s="1"/>
      <c r="AB181" s="1"/>
      <c r="AC181" s="1"/>
      <c r="AD181" s="1"/>
      <c r="AE181" s="1"/>
      <c r="AF181" s="1"/>
      <c r="AG181" s="1"/>
      <c r="AH181" s="1"/>
    </row>
    <row r="182" spans="8:34" x14ac:dyDescent="0.35"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>
        <f t="shared" si="35"/>
        <v>127</v>
      </c>
      <c r="V182" s="95">
        <f t="shared" si="36"/>
        <v>13968049.036539329</v>
      </c>
      <c r="W182" s="95">
        <f t="shared" si="37"/>
        <v>250368.04565287023</v>
      </c>
      <c r="X182" s="95">
        <f t="shared" si="38"/>
        <v>13717680.990886459</v>
      </c>
      <c r="Y182" s="95">
        <f t="shared" si="39"/>
        <v>13847845.225351647</v>
      </c>
      <c r="Z182" s="1"/>
      <c r="AA182" s="1"/>
      <c r="AB182" s="1"/>
      <c r="AC182" s="1"/>
      <c r="AD182" s="1"/>
      <c r="AE182" s="1"/>
      <c r="AF182" s="1"/>
      <c r="AG182" s="1"/>
      <c r="AH182" s="1"/>
    </row>
    <row r="183" spans="8:34" x14ac:dyDescent="0.35"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>
        <f t="shared" si="35"/>
        <v>128</v>
      </c>
      <c r="V183" s="95">
        <f t="shared" si="36"/>
        <v>13847845.225351647</v>
      </c>
      <c r="W183" s="95">
        <f t="shared" si="37"/>
        <v>251388.07606233016</v>
      </c>
      <c r="X183" s="95">
        <f t="shared" si="38"/>
        <v>13596457.149289316</v>
      </c>
      <c r="Y183" s="95">
        <f t="shared" si="39"/>
        <v>13725471.115822854</v>
      </c>
      <c r="Z183" s="1"/>
      <c r="AA183" s="1"/>
      <c r="AB183" s="1"/>
      <c r="AC183" s="1"/>
      <c r="AD183" s="1"/>
      <c r="AE183" s="1"/>
      <c r="AF183" s="1"/>
      <c r="AG183" s="1"/>
      <c r="AH183" s="1"/>
    </row>
    <row r="184" spans="8:34" x14ac:dyDescent="0.35"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>
        <f t="shared" si="35"/>
        <v>129</v>
      </c>
      <c r="V184" s="95">
        <f t="shared" si="36"/>
        <v>13725471.115822854</v>
      </c>
      <c r="W184" s="95">
        <f t="shared" si="37"/>
        <v>252412.26220194131</v>
      </c>
      <c r="X184" s="95">
        <f t="shared" si="38"/>
        <v>13473058.853620913</v>
      </c>
      <c r="Y184" s="95">
        <f t="shared" si="39"/>
        <v>13600901.919278372</v>
      </c>
      <c r="Z184" s="1"/>
      <c r="AA184" s="1"/>
      <c r="AB184" s="1"/>
      <c r="AC184" s="1"/>
      <c r="AD184" s="1"/>
      <c r="AE184" s="1"/>
      <c r="AF184" s="1"/>
      <c r="AG184" s="1"/>
      <c r="AH184" s="1"/>
    </row>
    <row r="185" spans="8:34" x14ac:dyDescent="0.35"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>
        <f t="shared" si="35"/>
        <v>130</v>
      </c>
      <c r="V185" s="95">
        <f t="shared" si="36"/>
        <v>13600901.919278372</v>
      </c>
      <c r="W185" s="95">
        <f t="shared" si="37"/>
        <v>253440.62100266272</v>
      </c>
      <c r="X185" s="95">
        <f t="shared" si="38"/>
        <v>13347461.298275709</v>
      </c>
      <c r="Y185" s="95">
        <f t="shared" si="39"/>
        <v>13474112.594737409</v>
      </c>
      <c r="Z185" s="1"/>
      <c r="AA185" s="1"/>
      <c r="AB185" s="1"/>
      <c r="AC185" s="1"/>
      <c r="AD185" s="1"/>
      <c r="AE185" s="1"/>
      <c r="AF185" s="1"/>
      <c r="AG185" s="1"/>
      <c r="AH185" s="1"/>
    </row>
    <row r="186" spans="8:34" x14ac:dyDescent="0.35"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>
        <f t="shared" ref="U186:U249" si="40">U185+1</f>
        <v>131</v>
      </c>
      <c r="V186" s="95">
        <f t="shared" ref="V186:V249" si="41">Y185</f>
        <v>13474112.594737409</v>
      </c>
      <c r="W186" s="95">
        <f t="shared" ref="W186:W249" si="42">W185+W185*($F$15/12)</f>
        <v>254473.16946443229</v>
      </c>
      <c r="X186" s="95">
        <f t="shared" ref="X186:X249" si="43">V186-W186</f>
        <v>13219639.425272977</v>
      </c>
      <c r="Y186" s="95">
        <f t="shared" ref="Y186:Y249" si="44">X186+(X186*($K$9/12))</f>
        <v>13345077.846449243</v>
      </c>
      <c r="Z186" s="1"/>
      <c r="AA186" s="1"/>
      <c r="AB186" s="1"/>
      <c r="AC186" s="1"/>
      <c r="AD186" s="1"/>
      <c r="AE186" s="1"/>
      <c r="AF186" s="1"/>
      <c r="AG186" s="1"/>
      <c r="AH186" s="1"/>
    </row>
    <row r="187" spans="8:34" x14ac:dyDescent="0.35"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>
        <f t="shared" si="40"/>
        <v>132</v>
      </c>
      <c r="V187" s="95">
        <f t="shared" si="41"/>
        <v>13345077.846449243</v>
      </c>
      <c r="W187" s="95">
        <f t="shared" si="42"/>
        <v>255509.92465644769</v>
      </c>
      <c r="X187" s="95">
        <f t="shared" si="43"/>
        <v>13089567.921792796</v>
      </c>
      <c r="Y187" s="95">
        <f t="shared" si="44"/>
        <v>13213772.121405847</v>
      </c>
      <c r="Z187" s="1"/>
      <c r="AA187" s="1"/>
      <c r="AB187" s="1"/>
      <c r="AC187" s="1"/>
      <c r="AD187" s="1"/>
      <c r="AE187" s="1"/>
      <c r="AF187" s="1"/>
      <c r="AG187" s="1"/>
      <c r="AH187" s="1"/>
    </row>
    <row r="188" spans="8:34" x14ac:dyDescent="0.35"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>
        <f t="shared" si="40"/>
        <v>133</v>
      </c>
      <c r="V188" s="95">
        <f t="shared" si="41"/>
        <v>13213772.121405847</v>
      </c>
      <c r="W188" s="95">
        <f t="shared" si="42"/>
        <v>256550.90371744873</v>
      </c>
      <c r="X188" s="95">
        <f t="shared" si="43"/>
        <v>12957221.217688398</v>
      </c>
      <c r="Y188" s="95">
        <f t="shared" si="44"/>
        <v>13080169.60683063</v>
      </c>
      <c r="Z188" s="1"/>
      <c r="AA188" s="1"/>
      <c r="AB188" s="1"/>
      <c r="AC188" s="1"/>
      <c r="AD188" s="1"/>
      <c r="AE188" s="1"/>
      <c r="AF188" s="1"/>
      <c r="AG188" s="1"/>
      <c r="AH188" s="1"/>
    </row>
    <row r="189" spans="8:34" x14ac:dyDescent="0.35"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>
        <f t="shared" si="40"/>
        <v>134</v>
      </c>
      <c r="V189" s="95">
        <f t="shared" si="41"/>
        <v>13080169.60683063</v>
      </c>
      <c r="W189" s="95">
        <f t="shared" si="42"/>
        <v>257596.12385600046</v>
      </c>
      <c r="X189" s="95">
        <f t="shared" si="43"/>
        <v>12822573.48297463</v>
      </c>
      <c r="Y189" s="95">
        <f t="shared" si="44"/>
        <v>12944244.227643052</v>
      </c>
      <c r="Z189" s="1"/>
      <c r="AA189" s="1"/>
      <c r="AB189" s="1"/>
      <c r="AC189" s="1"/>
      <c r="AD189" s="1"/>
      <c r="AE189" s="1"/>
      <c r="AF189" s="1"/>
      <c r="AG189" s="1"/>
      <c r="AH189" s="1"/>
    </row>
    <row r="190" spans="8:34" x14ac:dyDescent="0.35"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>
        <f t="shared" si="40"/>
        <v>135</v>
      </c>
      <c r="V190" s="95">
        <f t="shared" si="41"/>
        <v>12944244.227643052</v>
      </c>
      <c r="W190" s="95">
        <f t="shared" si="42"/>
        <v>258645.6023507778</v>
      </c>
      <c r="X190" s="95">
        <f t="shared" si="43"/>
        <v>12685598.625292275</v>
      </c>
      <c r="Y190" s="95">
        <f t="shared" si="44"/>
        <v>12805969.643898904</v>
      </c>
      <c r="Z190" s="1"/>
      <c r="AA190" s="1"/>
      <c r="AB190" s="1"/>
      <c r="AC190" s="1"/>
      <c r="AD190" s="1"/>
      <c r="AE190" s="1"/>
      <c r="AF190" s="1"/>
      <c r="AG190" s="1"/>
      <c r="AH190" s="1"/>
    </row>
    <row r="191" spans="8:34" x14ac:dyDescent="0.35"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>
        <f t="shared" si="40"/>
        <v>136</v>
      </c>
      <c r="V191" s="95">
        <f t="shared" si="41"/>
        <v>12805969.643898904</v>
      </c>
      <c r="W191" s="95">
        <f t="shared" si="42"/>
        <v>259699.35655085117</v>
      </c>
      <c r="X191" s="95">
        <f t="shared" si="43"/>
        <v>12546270.287348052</v>
      </c>
      <c r="Y191" s="95">
        <f t="shared" si="44"/>
        <v>12665319.24820601</v>
      </c>
      <c r="Z191" s="1"/>
      <c r="AA191" s="1"/>
      <c r="AB191" s="1"/>
      <c r="AC191" s="1"/>
      <c r="AD191" s="1"/>
      <c r="AE191" s="1"/>
      <c r="AF191" s="1"/>
      <c r="AG191" s="1"/>
      <c r="AH191" s="1"/>
    </row>
    <row r="192" spans="8:34" x14ac:dyDescent="0.35"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>
        <f t="shared" si="40"/>
        <v>137</v>
      </c>
      <c r="V192" s="95">
        <f t="shared" si="41"/>
        <v>12665319.24820601</v>
      </c>
      <c r="W192" s="95">
        <f t="shared" si="42"/>
        <v>260757.40387597316</v>
      </c>
      <c r="X192" s="95">
        <f t="shared" si="43"/>
        <v>12404561.844330037</v>
      </c>
      <c r="Y192" s="95">
        <f t="shared" si="44"/>
        <v>12522266.163115114</v>
      </c>
      <c r="Z192" s="1"/>
      <c r="AA192" s="1"/>
      <c r="AB192" s="1"/>
      <c r="AC192" s="1"/>
      <c r="AD192" s="1"/>
      <c r="AE192" s="1"/>
      <c r="AF192" s="1"/>
      <c r="AG192" s="1"/>
      <c r="AH192" s="1"/>
    </row>
    <row r="193" spans="8:34" x14ac:dyDescent="0.35"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>
        <f t="shared" si="40"/>
        <v>138</v>
      </c>
      <c r="V193" s="95">
        <f t="shared" si="41"/>
        <v>12522266.163115114</v>
      </c>
      <c r="W193" s="95">
        <f t="shared" si="42"/>
        <v>261819.76181686667</v>
      </c>
      <c r="X193" s="95">
        <f t="shared" si="43"/>
        <v>12260446.401298247</v>
      </c>
      <c r="Y193" s="95">
        <f t="shared" si="44"/>
        <v>12376783.23848572</v>
      </c>
      <c r="Z193" s="1"/>
      <c r="AA193" s="1"/>
      <c r="AB193" s="1"/>
      <c r="AC193" s="1"/>
      <c r="AD193" s="1"/>
      <c r="AE193" s="1"/>
      <c r="AF193" s="1"/>
      <c r="AG193" s="1"/>
      <c r="AH193" s="1"/>
    </row>
    <row r="194" spans="8:34" x14ac:dyDescent="0.35"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>
        <f t="shared" si="40"/>
        <v>139</v>
      </c>
      <c r="V194" s="95">
        <f t="shared" si="41"/>
        <v>12376783.23848572</v>
      </c>
      <c r="W194" s="95">
        <f t="shared" si="42"/>
        <v>262886.44793551392</v>
      </c>
      <c r="X194" s="95">
        <f t="shared" si="43"/>
        <v>12113896.790550206</v>
      </c>
      <c r="Y194" s="95">
        <f t="shared" si="44"/>
        <v>12228843.048826646</v>
      </c>
      <c r="Z194" s="1"/>
      <c r="AA194" s="1"/>
      <c r="AB194" s="1"/>
      <c r="AC194" s="1"/>
      <c r="AD194" s="1"/>
      <c r="AE194" s="1"/>
      <c r="AF194" s="1"/>
      <c r="AG194" s="1"/>
      <c r="AH194" s="1"/>
    </row>
    <row r="195" spans="8:34" x14ac:dyDescent="0.35"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>
        <f t="shared" si="40"/>
        <v>140</v>
      </c>
      <c r="V195" s="95">
        <f t="shared" si="41"/>
        <v>12228843.048826646</v>
      </c>
      <c r="W195" s="95">
        <f t="shared" si="42"/>
        <v>263957.4798654468</v>
      </c>
      <c r="X195" s="95">
        <f t="shared" si="43"/>
        <v>11964885.568961199</v>
      </c>
      <c r="Y195" s="95">
        <f t="shared" si="44"/>
        <v>12078417.890611053</v>
      </c>
      <c r="Z195" s="1"/>
      <c r="AA195" s="1"/>
      <c r="AB195" s="1"/>
      <c r="AC195" s="1"/>
      <c r="AD195" s="1"/>
      <c r="AE195" s="1"/>
      <c r="AF195" s="1"/>
      <c r="AG195" s="1"/>
      <c r="AH195" s="1"/>
    </row>
    <row r="196" spans="8:34" x14ac:dyDescent="0.35"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>
        <f t="shared" si="40"/>
        <v>141</v>
      </c>
      <c r="V196" s="95">
        <f t="shared" si="41"/>
        <v>12078417.890611053</v>
      </c>
      <c r="W196" s="95">
        <f t="shared" si="42"/>
        <v>265032.87531203852</v>
      </c>
      <c r="X196" s="95">
        <f t="shared" si="43"/>
        <v>11813385.015299015</v>
      </c>
      <c r="Y196" s="95">
        <f t="shared" si="44"/>
        <v>11925479.779565694</v>
      </c>
      <c r="Z196" s="1"/>
      <c r="AA196" s="1"/>
      <c r="AB196" s="1"/>
      <c r="AC196" s="1"/>
      <c r="AD196" s="1"/>
      <c r="AE196" s="1"/>
      <c r="AF196" s="1"/>
      <c r="AG196" s="1"/>
      <c r="AH196" s="1"/>
    </row>
    <row r="197" spans="8:34" x14ac:dyDescent="0.35"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>
        <f t="shared" si="40"/>
        <v>142</v>
      </c>
      <c r="V197" s="95">
        <f t="shared" si="41"/>
        <v>11925479.779565694</v>
      </c>
      <c r="W197" s="95">
        <f t="shared" si="42"/>
        <v>266112.65205279598</v>
      </c>
      <c r="X197" s="95">
        <f t="shared" si="43"/>
        <v>11659367.127512898</v>
      </c>
      <c r="Y197" s="95">
        <f t="shared" si="44"/>
        <v>11770000.447934153</v>
      </c>
      <c r="Z197" s="1"/>
      <c r="AA197" s="1"/>
      <c r="AB197" s="1"/>
      <c r="AC197" s="1"/>
      <c r="AD197" s="1"/>
      <c r="AE197" s="1"/>
      <c r="AF197" s="1"/>
      <c r="AG197" s="1"/>
      <c r="AH197" s="1"/>
    </row>
    <row r="198" spans="8:34" x14ac:dyDescent="0.35"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>
        <f t="shared" si="40"/>
        <v>143</v>
      </c>
      <c r="V198" s="95">
        <f t="shared" si="41"/>
        <v>11770000.447934153</v>
      </c>
      <c r="W198" s="95">
        <f t="shared" si="42"/>
        <v>267196.82793765399</v>
      </c>
      <c r="X198" s="95">
        <f t="shared" si="43"/>
        <v>11502803.619996499</v>
      </c>
      <c r="Y198" s="95">
        <f t="shared" si="44"/>
        <v>11611951.341713818</v>
      </c>
      <c r="Z198" s="1"/>
      <c r="AA198" s="1"/>
      <c r="AB198" s="1"/>
      <c r="AC198" s="1"/>
      <c r="AD198" s="1"/>
      <c r="AE198" s="1"/>
      <c r="AF198" s="1"/>
      <c r="AG198" s="1"/>
      <c r="AH198" s="1"/>
    </row>
    <row r="199" spans="8:34" x14ac:dyDescent="0.35"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>
        <f t="shared" si="40"/>
        <v>144</v>
      </c>
      <c r="V199" s="95">
        <f t="shared" si="41"/>
        <v>11611951.341713818</v>
      </c>
      <c r="W199" s="95">
        <f t="shared" si="42"/>
        <v>268285.4208892702</v>
      </c>
      <c r="X199" s="95">
        <f t="shared" si="43"/>
        <v>11343665.920824548</v>
      </c>
      <c r="Y199" s="95">
        <f t="shared" si="44"/>
        <v>11451303.617866339</v>
      </c>
      <c r="Z199" s="1"/>
      <c r="AA199" s="1"/>
      <c r="AB199" s="1"/>
      <c r="AC199" s="1"/>
      <c r="AD199" s="1"/>
      <c r="AE199" s="1"/>
      <c r="AF199" s="1"/>
      <c r="AG199" s="1"/>
      <c r="AH199" s="1"/>
    </row>
    <row r="200" spans="8:34" x14ac:dyDescent="0.35"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>
        <f t="shared" si="40"/>
        <v>145</v>
      </c>
      <c r="V200" s="95">
        <f t="shared" si="41"/>
        <v>11451303.617866339</v>
      </c>
      <c r="W200" s="95">
        <f t="shared" si="42"/>
        <v>269378.44890332129</v>
      </c>
      <c r="X200" s="95">
        <f t="shared" si="43"/>
        <v>11181925.168963019</v>
      </c>
      <c r="Y200" s="95">
        <f t="shared" si="44"/>
        <v>11288028.141501311</v>
      </c>
      <c r="Z200" s="1"/>
      <c r="AA200" s="1"/>
      <c r="AB200" s="1"/>
      <c r="AC200" s="1"/>
      <c r="AD200" s="1"/>
      <c r="AE200" s="1"/>
      <c r="AF200" s="1"/>
      <c r="AG200" s="1"/>
      <c r="AH200" s="1"/>
    </row>
    <row r="201" spans="8:34" x14ac:dyDescent="0.35"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>
        <f t="shared" si="40"/>
        <v>146</v>
      </c>
      <c r="V201" s="95">
        <f t="shared" si="41"/>
        <v>11288028.141501311</v>
      </c>
      <c r="W201" s="95">
        <f t="shared" si="42"/>
        <v>270475.9300488006</v>
      </c>
      <c r="X201" s="95">
        <f t="shared" si="43"/>
        <v>11017552.21145251</v>
      </c>
      <c r="Y201" s="95">
        <f t="shared" si="44"/>
        <v>11122095.48303294</v>
      </c>
      <c r="Z201" s="1"/>
      <c r="AA201" s="1"/>
      <c r="AB201" s="1"/>
      <c r="AC201" s="1"/>
      <c r="AD201" s="1"/>
      <c r="AE201" s="1"/>
      <c r="AF201" s="1"/>
      <c r="AG201" s="1"/>
      <c r="AH201" s="1"/>
    </row>
    <row r="202" spans="8:34" x14ac:dyDescent="0.35"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>
        <f t="shared" si="40"/>
        <v>147</v>
      </c>
      <c r="V202" s="95">
        <f t="shared" si="41"/>
        <v>11122095.48303294</v>
      </c>
      <c r="W202" s="95">
        <f t="shared" si="42"/>
        <v>271577.88246831682</v>
      </c>
      <c r="X202" s="95">
        <f t="shared" si="43"/>
        <v>10850517.600564623</v>
      </c>
      <c r="Y202" s="95">
        <f t="shared" si="44"/>
        <v>10953475.915309429</v>
      </c>
      <c r="Z202" s="1"/>
      <c r="AA202" s="1"/>
      <c r="AB202" s="1"/>
      <c r="AC202" s="1"/>
      <c r="AD202" s="1"/>
      <c r="AE202" s="1"/>
      <c r="AF202" s="1"/>
      <c r="AG202" s="1"/>
      <c r="AH202" s="1"/>
    </row>
    <row r="203" spans="8:34" x14ac:dyDescent="0.35"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>
        <f t="shared" si="40"/>
        <v>148</v>
      </c>
      <c r="V203" s="95">
        <f t="shared" si="41"/>
        <v>10953475.915309429</v>
      </c>
      <c r="W203" s="95">
        <f t="shared" si="42"/>
        <v>272684.32437839382</v>
      </c>
      <c r="X203" s="95">
        <f t="shared" si="43"/>
        <v>10680791.590931036</v>
      </c>
      <c r="Y203" s="95">
        <f t="shared" si="44"/>
        <v>10782139.410714816</v>
      </c>
      <c r="Z203" s="1"/>
      <c r="AA203" s="1"/>
      <c r="AB203" s="1"/>
      <c r="AC203" s="1"/>
      <c r="AD203" s="1"/>
      <c r="AE203" s="1"/>
      <c r="AF203" s="1"/>
      <c r="AG203" s="1"/>
      <c r="AH203" s="1"/>
    </row>
    <row r="204" spans="8:34" x14ac:dyDescent="0.35"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>
        <f t="shared" si="40"/>
        <v>149</v>
      </c>
      <c r="V204" s="95">
        <f t="shared" si="41"/>
        <v>10782139.410714816</v>
      </c>
      <c r="W204" s="95">
        <f t="shared" si="42"/>
        <v>273795.27406977193</v>
      </c>
      <c r="X204" s="95">
        <f t="shared" si="43"/>
        <v>10508344.136645045</v>
      </c>
      <c r="Y204" s="95">
        <f t="shared" si="44"/>
        <v>10608055.63824301</v>
      </c>
      <c r="Z204" s="1"/>
      <c r="AA204" s="1"/>
      <c r="AB204" s="1"/>
      <c r="AC204" s="1"/>
      <c r="AD204" s="1"/>
      <c r="AE204" s="1"/>
      <c r="AF204" s="1"/>
      <c r="AG204" s="1"/>
      <c r="AH204" s="1"/>
    </row>
    <row r="205" spans="8:34" x14ac:dyDescent="0.35"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>
        <f t="shared" si="40"/>
        <v>150</v>
      </c>
      <c r="V205" s="95">
        <f t="shared" si="41"/>
        <v>10608055.63824301</v>
      </c>
      <c r="W205" s="95">
        <f t="shared" si="42"/>
        <v>274910.74990771012</v>
      </c>
      <c r="X205" s="95">
        <f t="shared" si="43"/>
        <v>10333144.888335301</v>
      </c>
      <c r="Y205" s="95">
        <f t="shared" si="44"/>
        <v>10431193.960543759</v>
      </c>
      <c r="Z205" s="1"/>
      <c r="AA205" s="1"/>
      <c r="AB205" s="1"/>
      <c r="AC205" s="1"/>
      <c r="AD205" s="1"/>
      <c r="AE205" s="1"/>
      <c r="AF205" s="1"/>
      <c r="AG205" s="1"/>
      <c r="AH205" s="1"/>
    </row>
    <row r="206" spans="8:34" x14ac:dyDescent="0.35"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>
        <f t="shared" si="40"/>
        <v>151</v>
      </c>
      <c r="V206" s="95">
        <f t="shared" si="41"/>
        <v>10431193.960543759</v>
      </c>
      <c r="W206" s="95">
        <f t="shared" si="42"/>
        <v>276030.77033228974</v>
      </c>
      <c r="X206" s="95">
        <f t="shared" si="43"/>
        <v>10155163.190211469</v>
      </c>
      <c r="Y206" s="95">
        <f t="shared" si="44"/>
        <v>10251523.430940285</v>
      </c>
      <c r="Z206" s="1"/>
      <c r="AA206" s="1"/>
      <c r="AB206" s="1"/>
      <c r="AC206" s="1"/>
      <c r="AD206" s="1"/>
      <c r="AE206" s="1"/>
      <c r="AF206" s="1"/>
      <c r="AG206" s="1"/>
      <c r="AH206" s="1"/>
    </row>
    <row r="207" spans="8:34" x14ac:dyDescent="0.35"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>
        <f t="shared" si="40"/>
        <v>152</v>
      </c>
      <c r="V207" s="95">
        <f t="shared" si="41"/>
        <v>10251523.430940285</v>
      </c>
      <c r="W207" s="95">
        <f t="shared" si="42"/>
        <v>277155.35385871929</v>
      </c>
      <c r="X207" s="95">
        <f t="shared" si="43"/>
        <v>9974368.0770815667</v>
      </c>
      <c r="Y207" s="95">
        <f t="shared" si="44"/>
        <v>10069012.790418308</v>
      </c>
      <c r="Z207" s="1"/>
      <c r="AA207" s="1"/>
      <c r="AB207" s="1"/>
      <c r="AC207" s="1"/>
      <c r="AD207" s="1"/>
      <c r="AE207" s="1"/>
      <c r="AF207" s="1"/>
      <c r="AG207" s="1"/>
      <c r="AH207" s="1"/>
    </row>
    <row r="208" spans="8:34" x14ac:dyDescent="0.35"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>
        <f t="shared" si="40"/>
        <v>153</v>
      </c>
      <c r="V208" s="95">
        <f t="shared" si="41"/>
        <v>10069012.790418308</v>
      </c>
      <c r="W208" s="95">
        <f t="shared" si="42"/>
        <v>278284.51907764055</v>
      </c>
      <c r="X208" s="95">
        <f t="shared" si="43"/>
        <v>9790728.2713406682</v>
      </c>
      <c r="Y208" s="95">
        <f t="shared" si="44"/>
        <v>9883630.4645861872</v>
      </c>
      <c r="Z208" s="1"/>
      <c r="AA208" s="1"/>
      <c r="AB208" s="1"/>
      <c r="AC208" s="1"/>
      <c r="AD208" s="1"/>
      <c r="AE208" s="1"/>
      <c r="AF208" s="1"/>
      <c r="AG208" s="1"/>
      <c r="AH208" s="1"/>
    </row>
    <row r="209" spans="8:34" x14ac:dyDescent="0.35"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>
        <f t="shared" si="40"/>
        <v>154</v>
      </c>
      <c r="V209" s="95">
        <f t="shared" si="41"/>
        <v>9883630.4645861872</v>
      </c>
      <c r="W209" s="95">
        <f t="shared" si="42"/>
        <v>279418.28465543588</v>
      </c>
      <c r="X209" s="95">
        <f t="shared" si="43"/>
        <v>9604212.1799307521</v>
      </c>
      <c r="Y209" s="95">
        <f t="shared" si="44"/>
        <v>9695344.5606059153</v>
      </c>
      <c r="Z209" s="1"/>
      <c r="AA209" s="1"/>
      <c r="AB209" s="1"/>
      <c r="AC209" s="1"/>
      <c r="AD209" s="1"/>
      <c r="AE209" s="1"/>
      <c r="AF209" s="1"/>
      <c r="AG209" s="1"/>
      <c r="AH209" s="1"/>
    </row>
    <row r="210" spans="8:34" x14ac:dyDescent="0.35"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>
        <f t="shared" si="40"/>
        <v>155</v>
      </c>
      <c r="V210" s="95">
        <f t="shared" si="41"/>
        <v>9695344.5606059153</v>
      </c>
      <c r="W210" s="95">
        <f t="shared" si="42"/>
        <v>280556.66933453683</v>
      </c>
      <c r="X210" s="95">
        <f t="shared" si="43"/>
        <v>9414787.8912713788</v>
      </c>
      <c r="Y210" s="95">
        <f t="shared" si="44"/>
        <v>9504122.8640946727</v>
      </c>
      <c r="Z210" s="1"/>
      <c r="AA210" s="1"/>
      <c r="AB210" s="1"/>
      <c r="AC210" s="1"/>
      <c r="AD210" s="1"/>
      <c r="AE210" s="1"/>
      <c r="AF210" s="1"/>
      <c r="AG210" s="1"/>
      <c r="AH210" s="1"/>
    </row>
    <row r="211" spans="8:34" x14ac:dyDescent="0.35"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>
        <f t="shared" si="40"/>
        <v>156</v>
      </c>
      <c r="V211" s="95">
        <f t="shared" si="41"/>
        <v>9504122.8640946727</v>
      </c>
      <c r="W211" s="95">
        <f t="shared" si="42"/>
        <v>281699.69193373382</v>
      </c>
      <c r="X211" s="95">
        <f t="shared" si="43"/>
        <v>9222423.1721609384</v>
      </c>
      <c r="Y211" s="95">
        <f t="shared" si="44"/>
        <v>9309932.8359966744</v>
      </c>
      <c r="Z211" s="1"/>
      <c r="AA211" s="1"/>
      <c r="AB211" s="1"/>
      <c r="AC211" s="1"/>
      <c r="AD211" s="1"/>
      <c r="AE211" s="1"/>
      <c r="AF211" s="1"/>
      <c r="AG211" s="1"/>
      <c r="AH211" s="1"/>
    </row>
    <row r="212" spans="8:34" x14ac:dyDescent="0.35"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>
        <f t="shared" si="40"/>
        <v>157</v>
      </c>
      <c r="V212" s="95">
        <f t="shared" si="41"/>
        <v>9309932.8359966744</v>
      </c>
      <c r="W212" s="95">
        <f t="shared" si="42"/>
        <v>282847.37134848745</v>
      </c>
      <c r="X212" s="95">
        <f t="shared" si="43"/>
        <v>9027085.4646481872</v>
      </c>
      <c r="Y212" s="95">
        <f t="shared" si="44"/>
        <v>9112741.6094250176</v>
      </c>
      <c r="Z212" s="1"/>
      <c r="AA212" s="1"/>
      <c r="AB212" s="1"/>
      <c r="AC212" s="1"/>
      <c r="AD212" s="1"/>
      <c r="AE212" s="1"/>
      <c r="AF212" s="1"/>
      <c r="AG212" s="1"/>
      <c r="AH212" s="1"/>
    </row>
    <row r="213" spans="8:34" x14ac:dyDescent="0.35"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>
        <f t="shared" si="40"/>
        <v>158</v>
      </c>
      <c r="V213" s="95">
        <f t="shared" si="41"/>
        <v>9112741.6094250176</v>
      </c>
      <c r="W213" s="95">
        <f t="shared" si="42"/>
        <v>283999.72655124072</v>
      </c>
      <c r="X213" s="95">
        <f t="shared" si="43"/>
        <v>8828741.8828737773</v>
      </c>
      <c r="Y213" s="95">
        <f t="shared" si="44"/>
        <v>8912515.9864732474</v>
      </c>
      <c r="Z213" s="1"/>
      <c r="AA213" s="1"/>
      <c r="AB213" s="1"/>
      <c r="AC213" s="1"/>
      <c r="AD213" s="1"/>
      <c r="AE213" s="1"/>
      <c r="AF213" s="1"/>
      <c r="AG213" s="1"/>
      <c r="AH213" s="1"/>
    </row>
    <row r="214" spans="8:34" x14ac:dyDescent="0.35"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>
        <f t="shared" si="40"/>
        <v>159</v>
      </c>
      <c r="V214" s="95">
        <f t="shared" si="41"/>
        <v>8912515.9864732474</v>
      </c>
      <c r="W214" s="95">
        <f t="shared" si="42"/>
        <v>285156.77659173275</v>
      </c>
      <c r="X214" s="95">
        <f t="shared" si="43"/>
        <v>8627359.2098815143</v>
      </c>
      <c r="Y214" s="95">
        <f t="shared" si="44"/>
        <v>8709222.4349963479</v>
      </c>
      <c r="Z214" s="1"/>
      <c r="AA214" s="1"/>
      <c r="AB214" s="1"/>
      <c r="AC214" s="1"/>
      <c r="AD214" s="1"/>
      <c r="AE214" s="1"/>
      <c r="AF214" s="1"/>
      <c r="AG214" s="1"/>
      <c r="AH214" s="1"/>
    </row>
    <row r="215" spans="8:34" x14ac:dyDescent="0.35"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11"/>
      <c r="T215" s="111"/>
      <c r="U215" s="111">
        <f t="shared" si="40"/>
        <v>160</v>
      </c>
      <c r="V215" s="100">
        <f t="shared" si="41"/>
        <v>8709222.4349963479</v>
      </c>
      <c r="W215" s="100">
        <f t="shared" si="42"/>
        <v>286318.54059731361</v>
      </c>
      <c r="X215" s="100">
        <f t="shared" si="43"/>
        <v>8422903.8943990339</v>
      </c>
      <c r="Y215" s="100">
        <f t="shared" si="44"/>
        <v>8502827.0853608791</v>
      </c>
      <c r="Z215" s="1"/>
      <c r="AA215" s="1"/>
      <c r="AB215" s="1"/>
      <c r="AC215" s="1"/>
      <c r="AD215" s="1"/>
      <c r="AE215" s="1"/>
      <c r="AF215" s="1"/>
      <c r="AG215" s="1"/>
      <c r="AH215" s="1"/>
    </row>
    <row r="216" spans="8:34" x14ac:dyDescent="0.35"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11"/>
      <c r="T216" s="111"/>
      <c r="U216" s="111">
        <f t="shared" si="40"/>
        <v>161</v>
      </c>
      <c r="V216" s="100">
        <f t="shared" si="41"/>
        <v>8502827.0853608791</v>
      </c>
      <c r="W216" s="100">
        <f t="shared" si="42"/>
        <v>287485.03777326061</v>
      </c>
      <c r="X216" s="100">
        <f t="shared" si="43"/>
        <v>8215342.0475876182</v>
      </c>
      <c r="Y216" s="100">
        <f t="shared" si="44"/>
        <v>8293295.7271639509</v>
      </c>
      <c r="Z216" s="1"/>
      <c r="AA216" s="1"/>
      <c r="AB216" s="1"/>
      <c r="AC216" s="1"/>
      <c r="AD216" s="1"/>
      <c r="AE216" s="1"/>
      <c r="AF216" s="1"/>
      <c r="AG216" s="1"/>
      <c r="AH216" s="1"/>
    </row>
    <row r="217" spans="8:34" x14ac:dyDescent="0.35"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11"/>
      <c r="T217" s="111"/>
      <c r="U217" s="111">
        <f t="shared" si="40"/>
        <v>162</v>
      </c>
      <c r="V217" s="100">
        <f t="shared" si="41"/>
        <v>8293295.7271639509</v>
      </c>
      <c r="W217" s="100">
        <f t="shared" si="42"/>
        <v>288656.28740309569</v>
      </c>
      <c r="X217" s="100">
        <f t="shared" si="43"/>
        <v>8004639.4397608554</v>
      </c>
      <c r="Y217" s="100">
        <f t="shared" si="44"/>
        <v>8080593.8059207434</v>
      </c>
      <c r="Z217" s="1"/>
      <c r="AA217" s="1"/>
      <c r="AB217" s="1"/>
      <c r="AC217" s="1"/>
      <c r="AD217" s="1"/>
      <c r="AE217" s="1"/>
      <c r="AF217" s="1"/>
      <c r="AG217" s="1"/>
      <c r="AH217" s="1"/>
    </row>
    <row r="218" spans="8:34" x14ac:dyDescent="0.35"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11"/>
      <c r="T218" s="111"/>
      <c r="U218" s="111">
        <f t="shared" si="40"/>
        <v>163</v>
      </c>
      <c r="V218" s="100">
        <f t="shared" si="41"/>
        <v>8080593.8059207434</v>
      </c>
      <c r="W218" s="100">
        <f t="shared" si="42"/>
        <v>289832.30884890427</v>
      </c>
      <c r="X218" s="100">
        <f t="shared" si="43"/>
        <v>7790761.4970718389</v>
      </c>
      <c r="Y218" s="100">
        <f t="shared" si="44"/>
        <v>7864686.4197202763</v>
      </c>
      <c r="Z218" s="1"/>
      <c r="AA218" s="1"/>
      <c r="AB218" s="1"/>
      <c r="AC218" s="1"/>
      <c r="AD218" s="1"/>
      <c r="AE218" s="1"/>
      <c r="AF218" s="1"/>
      <c r="AG218" s="1"/>
      <c r="AH218" s="1"/>
    </row>
    <row r="219" spans="8:34" x14ac:dyDescent="0.35"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11"/>
      <c r="T219" s="111"/>
      <c r="U219" s="111">
        <f t="shared" si="40"/>
        <v>164</v>
      </c>
      <c r="V219" s="100">
        <f t="shared" si="41"/>
        <v>7864686.4197202763</v>
      </c>
      <c r="W219" s="100">
        <f t="shared" si="42"/>
        <v>291013.12155165529</v>
      </c>
      <c r="X219" s="100">
        <f t="shared" si="43"/>
        <v>7573673.298168621</v>
      </c>
      <c r="Y219" s="100">
        <f t="shared" si="44"/>
        <v>7645538.3158491235</v>
      </c>
      <c r="Z219" s="1"/>
      <c r="AA219" s="1"/>
      <c r="AB219" s="1"/>
      <c r="AC219" s="1"/>
      <c r="AD219" s="1"/>
      <c r="AE219" s="1"/>
      <c r="AF219" s="1"/>
      <c r="AG219" s="1"/>
      <c r="AH219" s="1"/>
    </row>
    <row r="220" spans="8:34" x14ac:dyDescent="0.35"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>
        <f t="shared" si="40"/>
        <v>165</v>
      </c>
      <c r="V220" s="95">
        <f t="shared" si="41"/>
        <v>7645538.3158491235</v>
      </c>
      <c r="W220" s="95">
        <f t="shared" si="42"/>
        <v>292198.74503152265</v>
      </c>
      <c r="X220" s="95">
        <f t="shared" si="43"/>
        <v>7353339.5708176009</v>
      </c>
      <c r="Y220" s="95">
        <f t="shared" si="44"/>
        <v>7423113.8873827653</v>
      </c>
      <c r="Z220" s="1"/>
      <c r="AA220" s="1"/>
      <c r="AB220" s="1"/>
      <c r="AC220" s="1"/>
      <c r="AD220" s="1"/>
      <c r="AE220" s="1"/>
      <c r="AF220" s="1"/>
      <c r="AG220" s="1"/>
      <c r="AH220" s="1"/>
    </row>
    <row r="221" spans="8:34" x14ac:dyDescent="0.35"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>
        <f t="shared" si="40"/>
        <v>166</v>
      </c>
      <c r="V221" s="95">
        <f t="shared" si="41"/>
        <v>7423113.8873827653</v>
      </c>
      <c r="W221" s="95">
        <f t="shared" si="42"/>
        <v>293389.19888820779</v>
      </c>
      <c r="X221" s="95">
        <f t="shared" si="43"/>
        <v>7129724.6884945575</v>
      </c>
      <c r="Y221" s="95">
        <f t="shared" si="44"/>
        <v>7197377.1697442671</v>
      </c>
      <c r="Z221" s="1"/>
      <c r="AA221" s="1"/>
      <c r="AB221" s="1"/>
      <c r="AC221" s="1"/>
      <c r="AD221" s="1"/>
      <c r="AE221" s="1"/>
      <c r="AF221" s="1"/>
      <c r="AG221" s="1"/>
      <c r="AH221" s="1"/>
    </row>
    <row r="222" spans="8:34" x14ac:dyDescent="0.35"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>
        <f t="shared" si="40"/>
        <v>167</v>
      </c>
      <c r="V222" s="95">
        <f t="shared" si="41"/>
        <v>7197377.1697442671</v>
      </c>
      <c r="W222" s="95">
        <f t="shared" si="42"/>
        <v>294584.50280126376</v>
      </c>
      <c r="X222" s="95">
        <f t="shared" si="43"/>
        <v>6902792.6669430034</v>
      </c>
      <c r="Y222" s="95">
        <f t="shared" si="44"/>
        <v>6968291.8372299839</v>
      </c>
      <c r="Z222" s="1"/>
      <c r="AA222" s="1"/>
      <c r="AB222" s="1"/>
      <c r="AC222" s="1"/>
      <c r="AD222" s="1"/>
      <c r="AE222" s="1"/>
      <c r="AF222" s="1"/>
      <c r="AG222" s="1"/>
      <c r="AH222" s="1"/>
    </row>
    <row r="223" spans="8:34" x14ac:dyDescent="0.35"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>
        <f t="shared" si="40"/>
        <v>168</v>
      </c>
      <c r="V223" s="95">
        <f t="shared" si="41"/>
        <v>6968291.8372299839</v>
      </c>
      <c r="W223" s="95">
        <f t="shared" si="42"/>
        <v>295784.67653042061</v>
      </c>
      <c r="X223" s="95">
        <f t="shared" si="43"/>
        <v>6672507.1606995631</v>
      </c>
      <c r="Y223" s="95">
        <f t="shared" si="44"/>
        <v>6735821.1995019643</v>
      </c>
      <c r="Z223" s="1"/>
      <c r="AA223" s="1"/>
      <c r="AB223" s="1"/>
      <c r="AC223" s="1"/>
      <c r="AD223" s="1"/>
      <c r="AE223" s="1"/>
      <c r="AF223" s="1"/>
      <c r="AG223" s="1"/>
      <c r="AH223" s="1"/>
    </row>
    <row r="224" spans="8:34" x14ac:dyDescent="0.35"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>
        <f t="shared" si="40"/>
        <v>169</v>
      </c>
      <c r="V224" s="95">
        <f t="shared" si="41"/>
        <v>6735821.1995019643</v>
      </c>
      <c r="W224" s="95">
        <f t="shared" si="42"/>
        <v>296989.73991591192</v>
      </c>
      <c r="X224" s="95">
        <f t="shared" si="43"/>
        <v>6438831.4595860522</v>
      </c>
      <c r="Y224" s="95">
        <f t="shared" si="44"/>
        <v>6499928.1980467429</v>
      </c>
      <c r="Z224" s="1"/>
      <c r="AA224" s="1"/>
      <c r="AB224" s="1"/>
      <c r="AC224" s="1"/>
      <c r="AD224" s="1"/>
      <c r="AE224" s="1"/>
      <c r="AF224" s="1"/>
      <c r="AG224" s="1"/>
      <c r="AH224" s="1"/>
    </row>
    <row r="225" spans="8:34" x14ac:dyDescent="0.35"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>
        <f t="shared" si="40"/>
        <v>170</v>
      </c>
      <c r="V225" s="95">
        <f t="shared" si="41"/>
        <v>6499928.1980467429</v>
      </c>
      <c r="W225" s="95">
        <f t="shared" si="42"/>
        <v>298199.71287880291</v>
      </c>
      <c r="X225" s="95">
        <f t="shared" si="43"/>
        <v>6201728.4851679401</v>
      </c>
      <c r="Y225" s="95">
        <f t="shared" si="44"/>
        <v>6260575.4026002046</v>
      </c>
      <c r="Z225" s="1"/>
      <c r="AA225" s="1"/>
      <c r="AB225" s="1"/>
      <c r="AC225" s="1"/>
      <c r="AD225" s="1"/>
      <c r="AE225" s="1"/>
      <c r="AF225" s="1"/>
      <c r="AG225" s="1"/>
      <c r="AH225" s="1"/>
    </row>
    <row r="226" spans="8:34" x14ac:dyDescent="0.35"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>
        <f t="shared" si="40"/>
        <v>171</v>
      </c>
      <c r="V226" s="95">
        <f t="shared" si="41"/>
        <v>6260575.4026002046</v>
      </c>
      <c r="W226" s="95">
        <f t="shared" si="42"/>
        <v>299414.61542131956</v>
      </c>
      <c r="X226" s="95">
        <f t="shared" si="43"/>
        <v>5961160.7871788852</v>
      </c>
      <c r="Y226" s="95">
        <f t="shared" si="44"/>
        <v>6017725.0075381817</v>
      </c>
      <c r="Z226" s="1"/>
      <c r="AA226" s="1"/>
      <c r="AB226" s="1"/>
      <c r="AC226" s="1"/>
      <c r="AD226" s="1"/>
      <c r="AE226" s="1"/>
      <c r="AF226" s="1"/>
      <c r="AG226" s="1"/>
      <c r="AH226" s="1"/>
    </row>
    <row r="227" spans="8:34" x14ac:dyDescent="0.35"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>
        <f t="shared" si="40"/>
        <v>172</v>
      </c>
      <c r="V227" s="95">
        <f t="shared" si="41"/>
        <v>6017725.0075381817</v>
      </c>
      <c r="W227" s="95">
        <f t="shared" si="42"/>
        <v>300634.46762717946</v>
      </c>
      <c r="X227" s="95">
        <f t="shared" si="43"/>
        <v>5717090.5399110019</v>
      </c>
      <c r="Y227" s="95">
        <f t="shared" si="44"/>
        <v>5771338.8282324811</v>
      </c>
      <c r="Z227" s="1"/>
      <c r="AA227" s="1"/>
      <c r="AB227" s="1"/>
      <c r="AC227" s="1"/>
      <c r="AD227" s="1"/>
      <c r="AE227" s="1"/>
      <c r="AF227" s="1"/>
      <c r="AG227" s="1"/>
      <c r="AH227" s="1"/>
    </row>
    <row r="228" spans="8:34" x14ac:dyDescent="0.35"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>
        <f t="shared" si="40"/>
        <v>173</v>
      </c>
      <c r="V228" s="95">
        <f t="shared" si="41"/>
        <v>5771338.8282324811</v>
      </c>
      <c r="W228" s="95">
        <f t="shared" si="42"/>
        <v>301859.28966192383</v>
      </c>
      <c r="X228" s="95">
        <f t="shared" si="43"/>
        <v>5469479.5385705577</v>
      </c>
      <c r="Y228" s="95">
        <f t="shared" si="44"/>
        <v>5521378.2973719928</v>
      </c>
      <c r="Z228" s="1"/>
      <c r="AA228" s="1"/>
      <c r="AB228" s="1"/>
      <c r="AC228" s="1"/>
      <c r="AD228" s="1"/>
      <c r="AE228" s="1"/>
      <c r="AF228" s="1"/>
      <c r="AG228" s="1"/>
      <c r="AH228" s="1"/>
    </row>
    <row r="229" spans="8:34" x14ac:dyDescent="0.35"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>
        <f t="shared" si="40"/>
        <v>174</v>
      </c>
      <c r="V229" s="95">
        <f t="shared" si="41"/>
        <v>5521378.2973719928</v>
      </c>
      <c r="W229" s="95">
        <f t="shared" si="42"/>
        <v>303089.10177325067</v>
      </c>
      <c r="X229" s="95">
        <f t="shared" si="43"/>
        <v>5218289.195598742</v>
      </c>
      <c r="Y229" s="95">
        <f t="shared" si="44"/>
        <v>5267804.4612485506</v>
      </c>
      <c r="Z229" s="1"/>
      <c r="AA229" s="1"/>
      <c r="AB229" s="1"/>
      <c r="AC229" s="1"/>
      <c r="AD229" s="1"/>
      <c r="AE229" s="1"/>
      <c r="AF229" s="1"/>
      <c r="AG229" s="1"/>
      <c r="AH229" s="1"/>
    </row>
    <row r="230" spans="8:34" x14ac:dyDescent="0.35"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>
        <f t="shared" si="40"/>
        <v>175</v>
      </c>
      <c r="V230" s="95">
        <f t="shared" si="41"/>
        <v>5267804.4612485506</v>
      </c>
      <c r="W230" s="95">
        <f t="shared" si="42"/>
        <v>304323.92429134971</v>
      </c>
      <c r="X230" s="95">
        <f t="shared" si="43"/>
        <v>4963480.5369572006</v>
      </c>
      <c r="Y230" s="95">
        <f t="shared" si="44"/>
        <v>5010577.9760072203</v>
      </c>
      <c r="Z230" s="1"/>
      <c r="AA230" s="1"/>
      <c r="AB230" s="1"/>
      <c r="AC230" s="1"/>
      <c r="AD230" s="1"/>
      <c r="AE230" s="1"/>
      <c r="AF230" s="1"/>
      <c r="AG230" s="1"/>
      <c r="AH230" s="1"/>
    </row>
    <row r="231" spans="8:34" x14ac:dyDescent="0.35"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>
        <f t="shared" si="40"/>
        <v>176</v>
      </c>
      <c r="V231" s="95">
        <f t="shared" si="41"/>
        <v>5010577.9760072203</v>
      </c>
      <c r="W231" s="95">
        <f t="shared" si="42"/>
        <v>305563.77762923832</v>
      </c>
      <c r="X231" s="95">
        <f t="shared" si="43"/>
        <v>4705014.1983779818</v>
      </c>
      <c r="Y231" s="95">
        <f t="shared" si="44"/>
        <v>4749659.1038606633</v>
      </c>
      <c r="Z231" s="1"/>
      <c r="AA231" s="1"/>
      <c r="AB231" s="1"/>
      <c r="AC231" s="1"/>
      <c r="AD231" s="1"/>
      <c r="AE231" s="1"/>
      <c r="AF231" s="1"/>
      <c r="AG231" s="1"/>
      <c r="AH231" s="1"/>
    </row>
    <row r="232" spans="8:34" x14ac:dyDescent="0.35"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>
        <f t="shared" si="40"/>
        <v>177</v>
      </c>
      <c r="V232" s="95">
        <f t="shared" si="41"/>
        <v>4749659.1038606633</v>
      </c>
      <c r="W232" s="95">
        <f t="shared" si="42"/>
        <v>306808.68228309904</v>
      </c>
      <c r="X232" s="95">
        <f t="shared" si="43"/>
        <v>4442850.4215775644</v>
      </c>
      <c r="Y232" s="95">
        <f t="shared" si="44"/>
        <v>4485007.7092672391</v>
      </c>
      <c r="Z232" s="1"/>
      <c r="AA232" s="1"/>
      <c r="AB232" s="1"/>
      <c r="AC232" s="1"/>
      <c r="AD232" s="1"/>
      <c r="AE232" s="1"/>
      <c r="AF232" s="1"/>
      <c r="AG232" s="1"/>
      <c r="AH232" s="1"/>
    </row>
    <row r="233" spans="8:34" x14ac:dyDescent="0.35"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>
        <f t="shared" si="40"/>
        <v>178</v>
      </c>
      <c r="V233" s="95">
        <f t="shared" si="41"/>
        <v>4485007.7092672391</v>
      </c>
      <c r="W233" s="95">
        <f t="shared" si="42"/>
        <v>308058.65883261844</v>
      </c>
      <c r="X233" s="95">
        <f t="shared" si="43"/>
        <v>4176949.0504346206</v>
      </c>
      <c r="Y233" s="95">
        <f t="shared" si="44"/>
        <v>4216583.2550724978</v>
      </c>
      <c r="Z233" s="1"/>
      <c r="AA233" s="1"/>
      <c r="AB233" s="1"/>
      <c r="AC233" s="1"/>
      <c r="AD233" s="1"/>
      <c r="AE233" s="1"/>
      <c r="AF233" s="1"/>
      <c r="AG233" s="1"/>
      <c r="AH233" s="1"/>
    </row>
    <row r="234" spans="8:34" x14ac:dyDescent="0.35"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>
        <f t="shared" si="40"/>
        <v>179</v>
      </c>
      <c r="V234" s="95">
        <f t="shared" si="41"/>
        <v>4216583.2550724978</v>
      </c>
      <c r="W234" s="95">
        <f t="shared" si="42"/>
        <v>309313.7279413272</v>
      </c>
      <c r="X234" s="95">
        <f t="shared" si="43"/>
        <v>3907269.5271311705</v>
      </c>
      <c r="Y234" s="95">
        <f t="shared" si="44"/>
        <v>3944344.7986137243</v>
      </c>
      <c r="Z234" s="1"/>
      <c r="AA234" s="1"/>
      <c r="AB234" s="1"/>
      <c r="AC234" s="1"/>
      <c r="AD234" s="1"/>
      <c r="AE234" s="1"/>
      <c r="AF234" s="1"/>
      <c r="AG234" s="1"/>
      <c r="AH234" s="1"/>
    </row>
    <row r="235" spans="8:34" x14ac:dyDescent="0.35"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>
        <f t="shared" si="40"/>
        <v>180</v>
      </c>
      <c r="V235" s="95">
        <f t="shared" si="41"/>
        <v>3944344.7986137243</v>
      </c>
      <c r="W235" s="95">
        <f t="shared" si="42"/>
        <v>310573.91035694192</v>
      </c>
      <c r="X235" s="95">
        <f t="shared" si="43"/>
        <v>3633770.8882567822</v>
      </c>
      <c r="Y235" s="95">
        <f t="shared" si="44"/>
        <v>3668250.9877871666</v>
      </c>
      <c r="Z235" s="1"/>
      <c r="AA235" s="1"/>
      <c r="AB235" s="1"/>
      <c r="AC235" s="1"/>
      <c r="AD235" s="1"/>
      <c r="AE235" s="1"/>
      <c r="AF235" s="1"/>
      <c r="AG235" s="1"/>
      <c r="AH235" s="1"/>
    </row>
    <row r="236" spans="8:34" x14ac:dyDescent="0.35"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>
        <f t="shared" si="40"/>
        <v>181</v>
      </c>
      <c r="V236" s="95">
        <f t="shared" si="41"/>
        <v>3668250.9877871666</v>
      </c>
      <c r="W236" s="95">
        <f t="shared" si="42"/>
        <v>311839.22691170784</v>
      </c>
      <c r="X236" s="95">
        <f t="shared" si="43"/>
        <v>3356411.7608754588</v>
      </c>
      <c r="Y236" s="95">
        <f t="shared" si="44"/>
        <v>3388260.0570776053</v>
      </c>
      <c r="Z236" s="1"/>
      <c r="AA236" s="1"/>
      <c r="AB236" s="1"/>
      <c r="AC236" s="1"/>
      <c r="AD236" s="1"/>
      <c r="AE236" s="1"/>
      <c r="AF236" s="1"/>
      <c r="AG236" s="1"/>
      <c r="AH236" s="1"/>
    </row>
    <row r="237" spans="8:34" x14ac:dyDescent="0.35"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>
        <f t="shared" si="40"/>
        <v>182</v>
      </c>
      <c r="V237" s="95">
        <f t="shared" si="41"/>
        <v>3388260.0570776053</v>
      </c>
      <c r="W237" s="95">
        <f t="shared" si="42"/>
        <v>313109.69852274336</v>
      </c>
      <c r="X237" s="95">
        <f t="shared" si="43"/>
        <v>3075150.358554862</v>
      </c>
      <c r="Y237" s="95">
        <f t="shared" si="44"/>
        <v>3104329.8235498979</v>
      </c>
      <c r="Z237" s="1"/>
      <c r="AA237" s="1"/>
      <c r="AB237" s="1"/>
      <c r="AC237" s="1"/>
      <c r="AD237" s="1"/>
      <c r="AE237" s="1"/>
      <c r="AF237" s="1"/>
      <c r="AG237" s="1"/>
      <c r="AH237" s="1"/>
    </row>
    <row r="238" spans="8:34" x14ac:dyDescent="0.35"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>
        <f t="shared" si="40"/>
        <v>183</v>
      </c>
      <c r="V238" s="95">
        <f t="shared" si="41"/>
        <v>3104329.8235498979</v>
      </c>
      <c r="W238" s="95">
        <f t="shared" si="42"/>
        <v>314385.34619238583</v>
      </c>
      <c r="X238" s="95">
        <f t="shared" si="43"/>
        <v>2789944.4773575119</v>
      </c>
      <c r="Y238" s="95">
        <f t="shared" si="44"/>
        <v>2816417.6828021407</v>
      </c>
      <c r="Z238" s="1"/>
      <c r="AA238" s="1"/>
      <c r="AB238" s="1"/>
      <c r="AC238" s="1"/>
      <c r="AD238" s="1"/>
      <c r="AE238" s="1"/>
      <c r="AF238" s="1"/>
      <c r="AG238" s="1"/>
      <c r="AH238" s="1"/>
    </row>
    <row r="239" spans="8:34" x14ac:dyDescent="0.35"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>
        <f t="shared" si="40"/>
        <v>184</v>
      </c>
      <c r="V239" s="95">
        <f t="shared" si="41"/>
        <v>2816417.6828021407</v>
      </c>
      <c r="W239" s="95">
        <f t="shared" si="42"/>
        <v>315666.19100853876</v>
      </c>
      <c r="X239" s="95">
        <f t="shared" si="43"/>
        <v>2500751.4917936018</v>
      </c>
      <c r="Y239" s="95">
        <f t="shared" si="44"/>
        <v>2524480.604880081</v>
      </c>
      <c r="Z239" s="1"/>
      <c r="AA239" s="1"/>
      <c r="AB239" s="1"/>
      <c r="AC239" s="1"/>
      <c r="AD239" s="1"/>
      <c r="AE239" s="1"/>
      <c r="AF239" s="1"/>
      <c r="AG239" s="1"/>
      <c r="AH239" s="1"/>
    </row>
    <row r="240" spans="8:34" x14ac:dyDescent="0.35"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>
        <f t="shared" si="40"/>
        <v>185</v>
      </c>
      <c r="V240" s="95">
        <f t="shared" si="41"/>
        <v>2524480.604880081</v>
      </c>
      <c r="W240" s="95">
        <f t="shared" si="42"/>
        <v>316952.25414502033</v>
      </c>
      <c r="X240" s="95">
        <f t="shared" si="43"/>
        <v>2207528.3507350609</v>
      </c>
      <c r="Y240" s="95">
        <f t="shared" si="44"/>
        <v>2228475.1301524076</v>
      </c>
      <c r="Z240" s="1"/>
      <c r="AA240" s="1"/>
      <c r="AB240" s="1"/>
      <c r="AC240" s="1"/>
      <c r="AD240" s="1"/>
      <c r="AE240" s="1"/>
      <c r="AF240" s="1"/>
      <c r="AG240" s="1"/>
      <c r="AH240" s="1"/>
    </row>
    <row r="241" spans="8:34" x14ac:dyDescent="0.35"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>
        <f t="shared" si="40"/>
        <v>186</v>
      </c>
      <c r="V241" s="95">
        <f t="shared" si="41"/>
        <v>2228475.1301524076</v>
      </c>
      <c r="W241" s="95">
        <f t="shared" si="42"/>
        <v>318243.55686191353</v>
      </c>
      <c r="X241" s="95">
        <f t="shared" si="43"/>
        <v>1910231.573290494</v>
      </c>
      <c r="Y241" s="95">
        <f t="shared" si="44"/>
        <v>1928357.3651465503</v>
      </c>
      <c r="Z241" s="1"/>
      <c r="AA241" s="1"/>
      <c r="AB241" s="1"/>
      <c r="AC241" s="1"/>
      <c r="AD241" s="1"/>
      <c r="AE241" s="1"/>
      <c r="AF241" s="1"/>
      <c r="AG241" s="1"/>
      <c r="AH241" s="1"/>
    </row>
    <row r="242" spans="8:34" x14ac:dyDescent="0.35"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>
        <f t="shared" si="40"/>
        <v>187</v>
      </c>
      <c r="V242" s="95">
        <f t="shared" si="41"/>
        <v>1928357.3651465503</v>
      </c>
      <c r="W242" s="95">
        <f t="shared" si="42"/>
        <v>319540.12050591753</v>
      </c>
      <c r="X242" s="95">
        <f t="shared" si="43"/>
        <v>1608817.2446406328</v>
      </c>
      <c r="Y242" s="95">
        <f t="shared" si="44"/>
        <v>1624082.9783446142</v>
      </c>
      <c r="Z242" s="1"/>
      <c r="AA242" s="1"/>
      <c r="AB242" s="1"/>
      <c r="AC242" s="1"/>
      <c r="AD242" s="1"/>
      <c r="AE242" s="1"/>
      <c r="AF242" s="1"/>
      <c r="AG242" s="1"/>
      <c r="AH242" s="1"/>
    </row>
    <row r="243" spans="8:34" x14ac:dyDescent="0.35"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>
        <f t="shared" si="40"/>
        <v>188</v>
      </c>
      <c r="V243" s="95">
        <f t="shared" si="41"/>
        <v>1624082.9783446142</v>
      </c>
      <c r="W243" s="95">
        <f t="shared" si="42"/>
        <v>320841.96651070053</v>
      </c>
      <c r="X243" s="95">
        <f t="shared" si="43"/>
        <v>1303241.0118339136</v>
      </c>
      <c r="Y243" s="95">
        <f t="shared" si="44"/>
        <v>1315607.1959390622</v>
      </c>
      <c r="Z243" s="1"/>
      <c r="AA243" s="1"/>
      <c r="AB243" s="1"/>
      <c r="AC243" s="1"/>
      <c r="AD243" s="1"/>
      <c r="AE243" s="1"/>
      <c r="AF243" s="1"/>
      <c r="AG243" s="1"/>
      <c r="AH243" s="1"/>
    </row>
    <row r="244" spans="8:34" x14ac:dyDescent="0.35"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>
        <f t="shared" si="40"/>
        <v>189</v>
      </c>
      <c r="V244" s="95">
        <f t="shared" si="41"/>
        <v>1315607.1959390622</v>
      </c>
      <c r="W244" s="95">
        <f t="shared" si="42"/>
        <v>322149.11639725429</v>
      </c>
      <c r="X244" s="95">
        <f t="shared" si="43"/>
        <v>993458.07954180788</v>
      </c>
      <c r="Y244" s="95">
        <f t="shared" si="44"/>
        <v>1002884.7975477686</v>
      </c>
      <c r="Z244" s="1"/>
      <c r="AA244" s="1"/>
      <c r="AB244" s="1"/>
      <c r="AC244" s="1"/>
      <c r="AD244" s="1"/>
      <c r="AE244" s="1"/>
      <c r="AF244" s="1"/>
      <c r="AG244" s="1"/>
      <c r="AH244" s="1"/>
    </row>
    <row r="245" spans="8:34" x14ac:dyDescent="0.35"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>
        <f t="shared" si="40"/>
        <v>190</v>
      </c>
      <c r="V245" s="95">
        <f t="shared" si="41"/>
        <v>1002884.7975477686</v>
      </c>
      <c r="W245" s="95">
        <f t="shared" si="42"/>
        <v>323461.59177424962</v>
      </c>
      <c r="X245" s="95">
        <f t="shared" si="43"/>
        <v>679423.20577351889</v>
      </c>
      <c r="Y245" s="95">
        <f t="shared" si="44"/>
        <v>685870.11188805441</v>
      </c>
      <c r="Z245" s="1"/>
      <c r="AA245" s="1"/>
      <c r="AB245" s="1"/>
      <c r="AC245" s="1"/>
      <c r="AD245" s="1"/>
      <c r="AE245" s="1"/>
      <c r="AF245" s="1"/>
      <c r="AG245" s="1"/>
      <c r="AH245" s="1"/>
    </row>
    <row r="246" spans="8:34" x14ac:dyDescent="0.35"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>
        <f t="shared" si="40"/>
        <v>191</v>
      </c>
      <c r="V246" s="95">
        <f t="shared" si="41"/>
        <v>685870.11188805441</v>
      </c>
      <c r="W246" s="95">
        <f t="shared" si="42"/>
        <v>324779.41433839384</v>
      </c>
      <c r="X246" s="95">
        <f t="shared" si="43"/>
        <v>361090.69754966057</v>
      </c>
      <c r="Y246" s="95">
        <f t="shared" si="44"/>
        <v>364517.01240931347</v>
      </c>
      <c r="Z246" s="1"/>
      <c r="AA246" s="1"/>
      <c r="AB246" s="1"/>
      <c r="AC246" s="1"/>
      <c r="AD246" s="1"/>
      <c r="AE246" s="1"/>
      <c r="AF246" s="1"/>
      <c r="AG246" s="1"/>
      <c r="AH246" s="1"/>
    </row>
    <row r="247" spans="8:34" x14ac:dyDescent="0.35"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>
        <f t="shared" si="40"/>
        <v>192</v>
      </c>
      <c r="V247" s="95">
        <f t="shared" si="41"/>
        <v>364517.01240931347</v>
      </c>
      <c r="W247" s="95">
        <f t="shared" si="42"/>
        <v>326102.6058747893</v>
      </c>
      <c r="X247" s="95">
        <f t="shared" si="43"/>
        <v>38414.406534524169</v>
      </c>
      <c r="Y247" s="95">
        <f t="shared" si="44"/>
        <v>38778.912883835161</v>
      </c>
      <c r="Z247" s="1"/>
      <c r="AA247" s="1"/>
      <c r="AB247" s="1"/>
      <c r="AC247" s="1"/>
      <c r="AD247" s="1"/>
      <c r="AE247" s="1"/>
      <c r="AF247" s="1"/>
      <c r="AG247" s="1"/>
      <c r="AH247" s="1"/>
    </row>
    <row r="248" spans="8:34" x14ac:dyDescent="0.35"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>
        <f t="shared" si="40"/>
        <v>193</v>
      </c>
      <c r="V248" s="95">
        <f t="shared" si="41"/>
        <v>38778.912883835161</v>
      </c>
      <c r="W248" s="95">
        <f t="shared" si="42"/>
        <v>327431.18825729348</v>
      </c>
      <c r="X248" s="95">
        <f t="shared" si="43"/>
        <v>-288652.27537345834</v>
      </c>
      <c r="Y248" s="95">
        <f t="shared" si="44"/>
        <v>-291391.23704457335</v>
      </c>
      <c r="Z248" s="1"/>
      <c r="AA248" s="1"/>
      <c r="AB248" s="1"/>
      <c r="AC248" s="1"/>
      <c r="AD248" s="1"/>
      <c r="AE248" s="1"/>
      <c r="AF248" s="1"/>
      <c r="AG248" s="1"/>
      <c r="AH248" s="1"/>
    </row>
    <row r="249" spans="8:34" x14ac:dyDescent="0.35"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>
        <f t="shared" si="40"/>
        <v>194</v>
      </c>
      <c r="V249" s="95">
        <f t="shared" si="41"/>
        <v>-291391.23704457335</v>
      </c>
      <c r="W249" s="95">
        <f t="shared" si="42"/>
        <v>328765.18344888079</v>
      </c>
      <c r="X249" s="95">
        <f t="shared" si="43"/>
        <v>-620156.42049345421</v>
      </c>
      <c r="Y249" s="95">
        <f t="shared" si="44"/>
        <v>-626040.95635456883</v>
      </c>
      <c r="Z249" s="1"/>
      <c r="AA249" s="1"/>
      <c r="AB249" s="1"/>
      <c r="AC249" s="1"/>
      <c r="AD249" s="1"/>
      <c r="AE249" s="1"/>
      <c r="AF249" s="1"/>
      <c r="AG249" s="1"/>
      <c r="AH249" s="1"/>
    </row>
    <row r="250" spans="8:34" x14ac:dyDescent="0.35"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>
        <f t="shared" ref="U250:U313" si="45">U249+1</f>
        <v>195</v>
      </c>
      <c r="V250" s="95">
        <f t="shared" ref="V250:V313" si="46">Y249</f>
        <v>-626040.95635456883</v>
      </c>
      <c r="W250" s="95">
        <f t="shared" ref="W250:W313" si="47">W249+W249*($F$15/12)</f>
        <v>330104.61350200541</v>
      </c>
      <c r="X250" s="95">
        <f t="shared" ref="X250:X313" si="48">V250-W250</f>
        <v>-956145.56985657429</v>
      </c>
      <c r="Y250" s="95">
        <f t="shared" ref="Y250:Y313" si="49">X250+(X250*($K$9/12))</f>
        <v>-965218.23718426225</v>
      </c>
      <c r="Z250" s="1"/>
      <c r="AA250" s="1"/>
      <c r="AB250" s="1"/>
      <c r="AC250" s="1"/>
      <c r="AD250" s="1"/>
      <c r="AE250" s="1"/>
      <c r="AF250" s="1"/>
      <c r="AG250" s="1"/>
      <c r="AH250" s="1"/>
    </row>
    <row r="251" spans="8:34" x14ac:dyDescent="0.35"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>
        <f t="shared" si="45"/>
        <v>196</v>
      </c>
      <c r="V251" s="95">
        <f t="shared" si="46"/>
        <v>-965218.23718426225</v>
      </c>
      <c r="W251" s="95">
        <f t="shared" si="47"/>
        <v>331449.50055896596</v>
      </c>
      <c r="X251" s="95">
        <f t="shared" si="48"/>
        <v>-1296667.7377432282</v>
      </c>
      <c r="Y251" s="95">
        <f t="shared" si="49"/>
        <v>-1308971.5494116279</v>
      </c>
      <c r="Z251" s="1"/>
      <c r="AA251" s="1"/>
      <c r="AB251" s="1"/>
      <c r="AC251" s="1"/>
      <c r="AD251" s="1"/>
      <c r="AE251" s="1"/>
      <c r="AF251" s="1"/>
      <c r="AG251" s="1"/>
      <c r="AH251" s="1"/>
    </row>
    <row r="252" spans="8:34" x14ac:dyDescent="0.35"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>
        <f t="shared" si="45"/>
        <v>197</v>
      </c>
      <c r="V252" s="95">
        <f t="shared" si="46"/>
        <v>-1308971.5494116279</v>
      </c>
      <c r="W252" s="95">
        <f t="shared" si="47"/>
        <v>332799.8668522716</v>
      </c>
      <c r="X252" s="95">
        <f t="shared" si="48"/>
        <v>-1641771.4162638995</v>
      </c>
      <c r="Y252" s="95">
        <f t="shared" si="49"/>
        <v>-1657349.8452787448</v>
      </c>
      <c r="Z252" s="1"/>
      <c r="AA252" s="1"/>
      <c r="AB252" s="1"/>
      <c r="AC252" s="1"/>
      <c r="AD252" s="1"/>
      <c r="AE252" s="1"/>
      <c r="AF252" s="1"/>
      <c r="AG252" s="1"/>
      <c r="AH252" s="1"/>
    </row>
    <row r="253" spans="8:34" x14ac:dyDescent="0.35"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>
        <f t="shared" si="45"/>
        <v>198</v>
      </c>
      <c r="V253" s="95">
        <f t="shared" si="46"/>
        <v>-1657349.8452787448</v>
      </c>
      <c r="W253" s="95">
        <f t="shared" si="47"/>
        <v>334155.73470500944</v>
      </c>
      <c r="X253" s="95">
        <f t="shared" si="48"/>
        <v>-1991505.5799837543</v>
      </c>
      <c r="Y253" s="95">
        <f t="shared" si="49"/>
        <v>-2010402.5640602869</v>
      </c>
      <c r="Z253" s="1"/>
      <c r="AA253" s="1"/>
      <c r="AB253" s="1"/>
      <c r="AC253" s="1"/>
      <c r="AD253" s="1"/>
      <c r="AE253" s="1"/>
      <c r="AF253" s="1"/>
      <c r="AG253" s="1"/>
      <c r="AH253" s="1"/>
    </row>
    <row r="254" spans="8:34" x14ac:dyDescent="0.35"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>
        <f t="shared" si="45"/>
        <v>199</v>
      </c>
      <c r="V254" s="95">
        <f t="shared" si="46"/>
        <v>-2010402.5640602869</v>
      </c>
      <c r="W254" s="95">
        <f t="shared" si="47"/>
        <v>335517.12653121358</v>
      </c>
      <c r="X254" s="95">
        <f t="shared" si="48"/>
        <v>-2345919.6905915006</v>
      </c>
      <c r="Y254" s="95">
        <f t="shared" si="49"/>
        <v>-2368179.6367766843</v>
      </c>
      <c r="Z254" s="1"/>
      <c r="AA254" s="1"/>
      <c r="AB254" s="1"/>
      <c r="AC254" s="1"/>
      <c r="AD254" s="1"/>
      <c r="AE254" s="1"/>
      <c r="AF254" s="1"/>
      <c r="AG254" s="1"/>
      <c r="AH254" s="1"/>
    </row>
    <row r="255" spans="8:34" x14ac:dyDescent="0.35"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>
        <f t="shared" si="45"/>
        <v>200</v>
      </c>
      <c r="V255" s="95">
        <f t="shared" si="46"/>
        <v>-2368179.6367766843</v>
      </c>
      <c r="W255" s="95">
        <f t="shared" si="47"/>
        <v>336884.06483623578</v>
      </c>
      <c r="X255" s="95">
        <f t="shared" si="48"/>
        <v>-2705063.70161292</v>
      </c>
      <c r="Y255" s="95">
        <f t="shared" si="49"/>
        <v>-2730731.4909523819</v>
      </c>
      <c r="Z255" s="1"/>
      <c r="AA255" s="1"/>
      <c r="AB255" s="1"/>
      <c r="AC255" s="1"/>
      <c r="AD255" s="1"/>
      <c r="AE255" s="1"/>
      <c r="AF255" s="1"/>
      <c r="AG255" s="1"/>
      <c r="AH255" s="1"/>
    </row>
    <row r="256" spans="8:34" x14ac:dyDescent="0.35"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>
        <f t="shared" si="45"/>
        <v>201</v>
      </c>
      <c r="V256" s="95">
        <f t="shared" si="46"/>
        <v>-2730731.4909523819</v>
      </c>
      <c r="W256" s="95">
        <f t="shared" si="47"/>
        <v>338256.57221711724</v>
      </c>
      <c r="X256" s="95">
        <f t="shared" si="48"/>
        <v>-3068988.0631694989</v>
      </c>
      <c r="Y256" s="95">
        <f t="shared" si="49"/>
        <v>-3098109.0554196215</v>
      </c>
      <c r="Z256" s="1"/>
      <c r="AA256" s="1"/>
      <c r="AB256" s="1"/>
      <c r="AC256" s="1"/>
      <c r="AD256" s="1"/>
      <c r="AE256" s="1"/>
      <c r="AF256" s="1"/>
      <c r="AG256" s="1"/>
      <c r="AH256" s="1"/>
    </row>
    <row r="257" spans="8:34" x14ac:dyDescent="0.35"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>
        <f t="shared" si="45"/>
        <v>202</v>
      </c>
      <c r="V257" s="95">
        <f t="shared" si="46"/>
        <v>-3098109.0554196215</v>
      </c>
      <c r="W257" s="95">
        <f t="shared" si="47"/>
        <v>339634.67136296234</v>
      </c>
      <c r="X257" s="95">
        <f t="shared" si="48"/>
        <v>-3437743.7267825836</v>
      </c>
      <c r="Y257" s="95">
        <f t="shared" si="49"/>
        <v>-3470363.7651681853</v>
      </c>
      <c r="Z257" s="1"/>
      <c r="AA257" s="1"/>
      <c r="AB257" s="1"/>
      <c r="AC257" s="1"/>
      <c r="AD257" s="1"/>
      <c r="AE257" s="1"/>
      <c r="AF257" s="1"/>
      <c r="AG257" s="1"/>
      <c r="AH257" s="1"/>
    </row>
    <row r="258" spans="8:34" x14ac:dyDescent="0.35"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>
        <f t="shared" si="45"/>
        <v>203</v>
      </c>
      <c r="V258" s="95">
        <f t="shared" si="46"/>
        <v>-3470363.7651681853</v>
      </c>
      <c r="W258" s="95">
        <f t="shared" si="47"/>
        <v>341018.38505531376</v>
      </c>
      <c r="X258" s="95">
        <f t="shared" si="48"/>
        <v>-3811382.1502234992</v>
      </c>
      <c r="Y258" s="95">
        <f t="shared" si="49"/>
        <v>-3847547.5662415358</v>
      </c>
      <c r="Z258" s="1"/>
      <c r="AA258" s="1"/>
      <c r="AB258" s="1"/>
      <c r="AC258" s="1"/>
      <c r="AD258" s="1"/>
      <c r="AE258" s="1"/>
      <c r="AF258" s="1"/>
      <c r="AG258" s="1"/>
      <c r="AH258" s="1"/>
    </row>
    <row r="259" spans="8:34" x14ac:dyDescent="0.35"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>
        <f t="shared" si="45"/>
        <v>204</v>
      </c>
      <c r="V259" s="95">
        <f t="shared" si="46"/>
        <v>-3847547.5662415358</v>
      </c>
      <c r="W259" s="95">
        <f t="shared" si="47"/>
        <v>342407.73616852897</v>
      </c>
      <c r="X259" s="95">
        <f t="shared" si="48"/>
        <v>-4189955.3024100647</v>
      </c>
      <c r="Y259" s="95">
        <f t="shared" si="49"/>
        <v>-4229712.9206797918</v>
      </c>
      <c r="Z259" s="1"/>
      <c r="AA259" s="1"/>
      <c r="AB259" s="1"/>
      <c r="AC259" s="1"/>
      <c r="AD259" s="1"/>
      <c r="AE259" s="1"/>
      <c r="AF259" s="1"/>
      <c r="AG259" s="1"/>
      <c r="AH259" s="1"/>
    </row>
    <row r="260" spans="8:34" x14ac:dyDescent="0.35"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>
        <f t="shared" si="45"/>
        <v>205</v>
      </c>
      <c r="V260" s="95">
        <f t="shared" si="46"/>
        <v>-4229712.9206797918</v>
      </c>
      <c r="W260" s="95">
        <f t="shared" si="47"/>
        <v>343802.74767015834</v>
      </c>
      <c r="X260" s="95">
        <f t="shared" si="48"/>
        <v>-4573515.6683499506</v>
      </c>
      <c r="Y260" s="95">
        <f t="shared" si="49"/>
        <v>-4616912.8115099948</v>
      </c>
      <c r="Z260" s="1"/>
      <c r="AA260" s="1"/>
      <c r="AB260" s="1"/>
      <c r="AC260" s="1"/>
      <c r="AD260" s="1"/>
      <c r="AE260" s="1"/>
      <c r="AF260" s="1"/>
      <c r="AG260" s="1"/>
      <c r="AH260" s="1"/>
    </row>
    <row r="261" spans="8:34" x14ac:dyDescent="0.35"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>
        <f t="shared" si="45"/>
        <v>206</v>
      </c>
      <c r="V261" s="95">
        <f t="shared" si="46"/>
        <v>-4616912.8115099948</v>
      </c>
      <c r="W261" s="95">
        <f t="shared" si="47"/>
        <v>345203.44262132497</v>
      </c>
      <c r="X261" s="95">
        <f t="shared" si="48"/>
        <v>-4962116.2541313199</v>
      </c>
      <c r="Y261" s="95">
        <f t="shared" si="49"/>
        <v>-5009200.7477841005</v>
      </c>
      <c r="Z261" s="1"/>
      <c r="AA261" s="1"/>
      <c r="AB261" s="1"/>
      <c r="AC261" s="1"/>
      <c r="AD261" s="1"/>
      <c r="AE261" s="1"/>
      <c r="AF261" s="1"/>
      <c r="AG261" s="1"/>
      <c r="AH261" s="1"/>
    </row>
    <row r="262" spans="8:34" x14ac:dyDescent="0.35"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>
        <f t="shared" si="45"/>
        <v>207</v>
      </c>
      <c r="V262" s="95">
        <f t="shared" si="46"/>
        <v>-5009200.7477841005</v>
      </c>
      <c r="W262" s="95">
        <f t="shared" si="47"/>
        <v>346609.84417710581</v>
      </c>
      <c r="X262" s="95">
        <f t="shared" si="48"/>
        <v>-5355810.5919612059</v>
      </c>
      <c r="Y262" s="95">
        <f t="shared" si="49"/>
        <v>-5406630.7696651723</v>
      </c>
      <c r="Z262" s="1"/>
      <c r="AA262" s="1"/>
      <c r="AB262" s="1"/>
      <c r="AC262" s="1"/>
      <c r="AD262" s="1"/>
      <c r="AE262" s="1"/>
      <c r="AF262" s="1"/>
      <c r="AG262" s="1"/>
      <c r="AH262" s="1"/>
    </row>
    <row r="263" spans="8:34" x14ac:dyDescent="0.35"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>
        <f t="shared" si="45"/>
        <v>208</v>
      </c>
      <c r="V263" s="95">
        <f t="shared" si="46"/>
        <v>-5406630.7696651723</v>
      </c>
      <c r="W263" s="95">
        <f t="shared" si="47"/>
        <v>348021.9755869144</v>
      </c>
      <c r="X263" s="95">
        <f t="shared" si="48"/>
        <v>-5754652.7452520868</v>
      </c>
      <c r="Y263" s="95">
        <f t="shared" si="49"/>
        <v>-5809257.453562214</v>
      </c>
      <c r="Z263" s="1"/>
      <c r="AA263" s="1"/>
      <c r="AB263" s="1"/>
      <c r="AC263" s="1"/>
      <c r="AD263" s="1"/>
      <c r="AE263" s="1"/>
      <c r="AF263" s="1"/>
      <c r="AG263" s="1"/>
      <c r="AH263" s="1"/>
    </row>
    <row r="264" spans="8:34" x14ac:dyDescent="0.35"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>
        <f t="shared" si="45"/>
        <v>209</v>
      </c>
      <c r="V264" s="95">
        <f t="shared" si="46"/>
        <v>-5809257.453562214</v>
      </c>
      <c r="W264" s="95">
        <f t="shared" si="47"/>
        <v>349439.86019488535</v>
      </c>
      <c r="X264" s="95">
        <f t="shared" si="48"/>
        <v>-6158697.3137570992</v>
      </c>
      <c r="Y264" s="95">
        <f t="shared" si="49"/>
        <v>-6217135.9173141131</v>
      </c>
      <c r="Z264" s="1"/>
      <c r="AA264" s="1"/>
      <c r="AB264" s="1"/>
      <c r="AC264" s="1"/>
      <c r="AD264" s="1"/>
      <c r="AE264" s="1"/>
      <c r="AF264" s="1"/>
      <c r="AG264" s="1"/>
      <c r="AH264" s="1"/>
    </row>
    <row r="265" spans="8:34" x14ac:dyDescent="0.35"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>
        <f t="shared" si="45"/>
        <v>210</v>
      </c>
      <c r="V265" s="95">
        <f t="shared" si="46"/>
        <v>-6217135.9173141131</v>
      </c>
      <c r="W265" s="95">
        <f t="shared" si="47"/>
        <v>350863.52144026011</v>
      </c>
      <c r="X265" s="95">
        <f t="shared" si="48"/>
        <v>-6567999.4387543732</v>
      </c>
      <c r="Y265" s="95">
        <f t="shared" si="49"/>
        <v>-6630321.8254231708</v>
      </c>
      <c r="Z265" s="1"/>
      <c r="AA265" s="1"/>
      <c r="AB265" s="1"/>
      <c r="AC265" s="1"/>
      <c r="AD265" s="1"/>
      <c r="AE265" s="1"/>
      <c r="AF265" s="1"/>
      <c r="AG265" s="1"/>
      <c r="AH265" s="1"/>
    </row>
    <row r="266" spans="8:34" x14ac:dyDescent="0.35"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>
        <f t="shared" si="45"/>
        <v>211</v>
      </c>
      <c r="V266" s="95">
        <f t="shared" si="46"/>
        <v>-6630321.8254231708</v>
      </c>
      <c r="W266" s="95">
        <f t="shared" si="47"/>
        <v>352292.98285777448</v>
      </c>
      <c r="X266" s="95">
        <f t="shared" si="48"/>
        <v>-6982614.8082809448</v>
      </c>
      <c r="Y266" s="95">
        <f t="shared" si="49"/>
        <v>-7048871.3943386758</v>
      </c>
      <c r="Z266" s="1"/>
      <c r="AA266" s="1"/>
      <c r="AB266" s="1"/>
      <c r="AC266" s="1"/>
      <c r="AD266" s="1"/>
      <c r="AE266" s="1"/>
      <c r="AF266" s="1"/>
      <c r="AG266" s="1"/>
      <c r="AH266" s="1"/>
    </row>
    <row r="267" spans="8:34" x14ac:dyDescent="0.35"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>
        <f t="shared" si="45"/>
        <v>212</v>
      </c>
      <c r="V267" s="95">
        <f t="shared" si="46"/>
        <v>-7048871.3943386758</v>
      </c>
      <c r="W267" s="95">
        <f t="shared" si="47"/>
        <v>353728.26807804778</v>
      </c>
      <c r="X267" s="95">
        <f t="shared" si="48"/>
        <v>-7402599.6624167236</v>
      </c>
      <c r="Y267" s="95">
        <f t="shared" si="49"/>
        <v>-7472841.3977910103</v>
      </c>
      <c r="Z267" s="1"/>
      <c r="AA267" s="1"/>
      <c r="AB267" s="1"/>
      <c r="AC267" s="1"/>
      <c r="AD267" s="1"/>
      <c r="AE267" s="1"/>
      <c r="AF267" s="1"/>
      <c r="AG267" s="1"/>
      <c r="AH267" s="1"/>
    </row>
    <row r="268" spans="8:34" x14ac:dyDescent="0.35"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>
        <f t="shared" si="45"/>
        <v>213</v>
      </c>
      <c r="V268" s="95">
        <f t="shared" si="46"/>
        <v>-7472841.3977910103</v>
      </c>
      <c r="W268" s="95">
        <f t="shared" si="47"/>
        <v>355169.40082797332</v>
      </c>
      <c r="X268" s="95">
        <f t="shared" si="48"/>
        <v>-7828010.7986189835</v>
      </c>
      <c r="Y268" s="95">
        <f t="shared" si="49"/>
        <v>-7902289.1721767588</v>
      </c>
      <c r="Z268" s="1"/>
      <c r="AA268" s="1"/>
      <c r="AB268" s="1"/>
      <c r="AC268" s="1"/>
      <c r="AD268" s="1"/>
      <c r="AE268" s="1"/>
      <c r="AF268" s="1"/>
      <c r="AG268" s="1"/>
      <c r="AH268" s="1"/>
    </row>
    <row r="269" spans="8:34" x14ac:dyDescent="0.35"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>
        <f t="shared" si="45"/>
        <v>214</v>
      </c>
      <c r="V269" s="95">
        <f t="shared" si="46"/>
        <v>-7902289.1721767588</v>
      </c>
      <c r="W269" s="95">
        <f t="shared" si="47"/>
        <v>356616.40493111068</v>
      </c>
      <c r="X269" s="95">
        <f t="shared" si="48"/>
        <v>-8258905.5771078691</v>
      </c>
      <c r="Y269" s="95">
        <f t="shared" si="49"/>
        <v>-8337272.6219953187</v>
      </c>
      <c r="Z269" s="1"/>
      <c r="AA269" s="1"/>
      <c r="AB269" s="1"/>
      <c r="AC269" s="1"/>
      <c r="AD269" s="1"/>
      <c r="AE269" s="1"/>
      <c r="AF269" s="1"/>
      <c r="AG269" s="1"/>
      <c r="AH269" s="1"/>
    </row>
    <row r="270" spans="8:34" x14ac:dyDescent="0.35"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>
        <f t="shared" si="45"/>
        <v>215</v>
      </c>
      <c r="V270" s="95">
        <f t="shared" si="46"/>
        <v>-8337272.6219953187</v>
      </c>
      <c r="W270" s="95">
        <f t="shared" si="47"/>
        <v>358069.30430807971</v>
      </c>
      <c r="X270" s="95">
        <f t="shared" si="48"/>
        <v>-8695341.9263033979</v>
      </c>
      <c r="Y270" s="95">
        <f t="shared" si="49"/>
        <v>-8777850.2253374886</v>
      </c>
      <c r="Z270" s="1"/>
      <c r="AA270" s="1"/>
      <c r="AB270" s="1"/>
      <c r="AC270" s="1"/>
      <c r="AD270" s="1"/>
      <c r="AE270" s="1"/>
      <c r="AF270" s="1"/>
      <c r="AG270" s="1"/>
      <c r="AH270" s="1"/>
    </row>
    <row r="271" spans="8:34" x14ac:dyDescent="0.35"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>
        <f t="shared" si="45"/>
        <v>216</v>
      </c>
      <c r="V271" s="95">
        <f t="shared" si="46"/>
        <v>-8777850.2253374886</v>
      </c>
      <c r="W271" s="95">
        <f t="shared" si="47"/>
        <v>359528.12297695567</v>
      </c>
      <c r="X271" s="95">
        <f t="shared" si="48"/>
        <v>-9137378.3483144436</v>
      </c>
      <c r="Y271" s="95">
        <f t="shared" si="49"/>
        <v>-9224081.039426541</v>
      </c>
      <c r="Z271" s="1"/>
      <c r="AA271" s="1"/>
      <c r="AB271" s="1"/>
      <c r="AC271" s="1"/>
      <c r="AD271" s="1"/>
      <c r="AE271" s="1"/>
      <c r="AF271" s="1"/>
      <c r="AG271" s="1"/>
      <c r="AH271" s="1"/>
    </row>
    <row r="272" spans="8:34" x14ac:dyDescent="0.35"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>
        <f t="shared" si="45"/>
        <v>217</v>
      </c>
      <c r="V272" s="95">
        <f t="shared" si="46"/>
        <v>-9224081.039426541</v>
      </c>
      <c r="W272" s="95">
        <f t="shared" si="47"/>
        <v>360992.88505366654</v>
      </c>
      <c r="X272" s="95">
        <f t="shared" si="48"/>
        <v>-9585073.9244802073</v>
      </c>
      <c r="Y272" s="95">
        <f t="shared" si="49"/>
        <v>-9676024.706212271</v>
      </c>
      <c r="Z272" s="1"/>
      <c r="AA272" s="1"/>
      <c r="AB272" s="1"/>
      <c r="AC272" s="1"/>
      <c r="AD272" s="1"/>
      <c r="AE272" s="1"/>
      <c r="AF272" s="1"/>
      <c r="AG272" s="1"/>
      <c r="AH272" s="1"/>
    </row>
    <row r="273" spans="8:34" x14ac:dyDescent="0.35"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>
        <f t="shared" si="45"/>
        <v>218</v>
      </c>
      <c r="V273" s="95">
        <f t="shared" si="46"/>
        <v>-9676024.706212271</v>
      </c>
      <c r="W273" s="95">
        <f t="shared" si="47"/>
        <v>362463.61475239153</v>
      </c>
      <c r="X273" s="95">
        <f t="shared" si="48"/>
        <v>-10038488.320964662</v>
      </c>
      <c r="Y273" s="95">
        <f t="shared" si="49"/>
        <v>-10133741.458018526</v>
      </c>
      <c r="Z273" s="1"/>
      <c r="AA273" s="1"/>
      <c r="AB273" s="1"/>
      <c r="AC273" s="1"/>
      <c r="AD273" s="1"/>
      <c r="AE273" s="1"/>
      <c r="AF273" s="1"/>
      <c r="AG273" s="1"/>
      <c r="AH273" s="1"/>
    </row>
    <row r="274" spans="8:34" x14ac:dyDescent="0.35"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>
        <f t="shared" si="45"/>
        <v>219</v>
      </c>
      <c r="V274" s="95">
        <f t="shared" si="46"/>
        <v>-10133741.458018526</v>
      </c>
      <c r="W274" s="95">
        <f t="shared" si="47"/>
        <v>363940.33638596139</v>
      </c>
      <c r="X274" s="95">
        <f t="shared" si="48"/>
        <v>-10497681.794404488</v>
      </c>
      <c r="Y274" s="95">
        <f t="shared" si="49"/>
        <v>-10597292.123244734</v>
      </c>
      <c r="Z274" s="1"/>
      <c r="AA274" s="1"/>
      <c r="AB274" s="1"/>
      <c r="AC274" s="1"/>
      <c r="AD274" s="1"/>
      <c r="AE274" s="1"/>
      <c r="AF274" s="1"/>
      <c r="AG274" s="1"/>
      <c r="AH274" s="1"/>
    </row>
    <row r="275" spans="8:34" x14ac:dyDescent="0.35"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>
        <f t="shared" si="45"/>
        <v>220</v>
      </c>
      <c r="V275" s="95">
        <f t="shared" si="46"/>
        <v>-10597292.123244734</v>
      </c>
      <c r="W275" s="95">
        <f t="shared" si="47"/>
        <v>365423.07436626044</v>
      </c>
      <c r="X275" s="95">
        <f t="shared" si="48"/>
        <v>-10962715.197610995</v>
      </c>
      <c r="Y275" s="95">
        <f t="shared" si="49"/>
        <v>-11066738.132121932</v>
      </c>
      <c r="Z275" s="1"/>
      <c r="AA275" s="1"/>
      <c r="AB275" s="1"/>
      <c r="AC275" s="1"/>
      <c r="AD275" s="1"/>
      <c r="AE275" s="1"/>
      <c r="AF275" s="1"/>
      <c r="AG275" s="1"/>
      <c r="AH275" s="1"/>
    </row>
    <row r="276" spans="8:34" x14ac:dyDescent="0.35"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>
        <f t="shared" si="45"/>
        <v>221</v>
      </c>
      <c r="V276" s="95">
        <f t="shared" si="46"/>
        <v>-11066738.132121932</v>
      </c>
      <c r="W276" s="95">
        <f t="shared" si="47"/>
        <v>366911.85320462991</v>
      </c>
      <c r="X276" s="95">
        <f t="shared" si="48"/>
        <v>-11433649.985326562</v>
      </c>
      <c r="Y276" s="95">
        <f t="shared" si="49"/>
        <v>-11542141.522523824</v>
      </c>
      <c r="Z276" s="1"/>
      <c r="AA276" s="1"/>
      <c r="AB276" s="1"/>
      <c r="AC276" s="1"/>
      <c r="AD276" s="1"/>
      <c r="AE276" s="1"/>
      <c r="AF276" s="1"/>
      <c r="AG276" s="1"/>
      <c r="AH276" s="1"/>
    </row>
    <row r="277" spans="8:34" x14ac:dyDescent="0.35"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>
        <f t="shared" si="45"/>
        <v>222</v>
      </c>
      <c r="V277" s="95">
        <f t="shared" si="46"/>
        <v>-11542141.522523824</v>
      </c>
      <c r="W277" s="95">
        <f t="shared" si="47"/>
        <v>368406.69751227339</v>
      </c>
      <c r="X277" s="95">
        <f t="shared" si="48"/>
        <v>-11910548.220036097</v>
      </c>
      <c r="Y277" s="95">
        <f t="shared" si="49"/>
        <v>-12023564.945833387</v>
      </c>
      <c r="Z277" s="1"/>
      <c r="AA277" s="1"/>
      <c r="AB277" s="1"/>
      <c r="AC277" s="1"/>
      <c r="AD277" s="1"/>
      <c r="AE277" s="1"/>
      <c r="AF277" s="1"/>
      <c r="AG277" s="1"/>
      <c r="AH277" s="1"/>
    </row>
    <row r="278" spans="8:34" x14ac:dyDescent="0.35"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>
        <f t="shared" si="45"/>
        <v>223</v>
      </c>
      <c r="V278" s="95">
        <f t="shared" si="46"/>
        <v>-12023564.945833387</v>
      </c>
      <c r="W278" s="95">
        <f t="shared" si="47"/>
        <v>369907.63200066349</v>
      </c>
      <c r="X278" s="95">
        <f t="shared" si="48"/>
        <v>-12393472.577834051</v>
      </c>
      <c r="Y278" s="95">
        <f t="shared" si="49"/>
        <v>-12511071.672865551</v>
      </c>
      <c r="Z278" s="1"/>
      <c r="AA278" s="1"/>
      <c r="AB278" s="1"/>
      <c r="AC278" s="1"/>
      <c r="AD278" s="1"/>
      <c r="AE278" s="1"/>
      <c r="AF278" s="1"/>
      <c r="AG278" s="1"/>
      <c r="AH278" s="1"/>
    </row>
    <row r="279" spans="8:34" x14ac:dyDescent="0.35"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>
        <f t="shared" si="45"/>
        <v>224</v>
      </c>
      <c r="V279" s="95">
        <f t="shared" si="46"/>
        <v>-12511071.672865551</v>
      </c>
      <c r="W279" s="95">
        <f t="shared" si="47"/>
        <v>371414.68148195045</v>
      </c>
      <c r="X279" s="95">
        <f t="shared" si="48"/>
        <v>-12882486.354347501</v>
      </c>
      <c r="Y279" s="95">
        <f t="shared" si="49"/>
        <v>-13004725.599846495</v>
      </c>
      <c r="Z279" s="1"/>
      <c r="AA279" s="1"/>
      <c r="AB279" s="1"/>
      <c r="AC279" s="1"/>
      <c r="AD279" s="1"/>
      <c r="AE279" s="1"/>
      <c r="AF279" s="1"/>
      <c r="AG279" s="1"/>
      <c r="AH279" s="1"/>
    </row>
    <row r="280" spans="8:34" x14ac:dyDescent="0.35"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>
        <f t="shared" si="45"/>
        <v>225</v>
      </c>
      <c r="V280" s="95">
        <f t="shared" si="46"/>
        <v>-13004725.599846495</v>
      </c>
      <c r="W280" s="95">
        <f t="shared" si="47"/>
        <v>372927.87086937221</v>
      </c>
      <c r="X280" s="95">
        <f t="shared" si="48"/>
        <v>-13377653.470715867</v>
      </c>
      <c r="Y280" s="95">
        <f t="shared" si="49"/>
        <v>-13504591.254450096</v>
      </c>
      <c r="Z280" s="1"/>
      <c r="AA280" s="1"/>
      <c r="AB280" s="1"/>
      <c r="AC280" s="1"/>
      <c r="AD280" s="1"/>
      <c r="AE280" s="1"/>
      <c r="AF280" s="1"/>
      <c r="AG280" s="1"/>
      <c r="AH280" s="1"/>
    </row>
    <row r="281" spans="8:34" x14ac:dyDescent="0.35"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>
        <f t="shared" si="45"/>
        <v>226</v>
      </c>
      <c r="V281" s="95">
        <f t="shared" si="46"/>
        <v>-13504591.254450096</v>
      </c>
      <c r="W281" s="95">
        <f t="shared" si="47"/>
        <v>374447.22517766646</v>
      </c>
      <c r="X281" s="95">
        <f t="shared" si="48"/>
        <v>-13879038.479627762</v>
      </c>
      <c r="Y281" s="95">
        <f t="shared" si="49"/>
        <v>-14010733.801892061</v>
      </c>
      <c r="Z281" s="1"/>
      <c r="AA281" s="1"/>
      <c r="AB281" s="1"/>
      <c r="AC281" s="1"/>
      <c r="AD281" s="1"/>
      <c r="AE281" s="1"/>
      <c r="AF281" s="1"/>
      <c r="AG281" s="1"/>
      <c r="AH281" s="1"/>
    </row>
    <row r="282" spans="8:34" x14ac:dyDescent="0.35"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>
        <f t="shared" si="45"/>
        <v>227</v>
      </c>
      <c r="V282" s="95">
        <f t="shared" si="46"/>
        <v>-14010733.801892061</v>
      </c>
      <c r="W282" s="95">
        <f t="shared" si="47"/>
        <v>375972.76952348393</v>
      </c>
      <c r="X282" s="95">
        <f t="shared" si="48"/>
        <v>-14386706.571415545</v>
      </c>
      <c r="Y282" s="95">
        <f t="shared" si="49"/>
        <v>-14523219.051082313</v>
      </c>
      <c r="Z282" s="1"/>
      <c r="AA282" s="1"/>
      <c r="AB282" s="1"/>
      <c r="AC282" s="1"/>
      <c r="AD282" s="1"/>
      <c r="AE282" s="1"/>
      <c r="AF282" s="1"/>
      <c r="AG282" s="1"/>
      <c r="AH282" s="1"/>
    </row>
    <row r="283" spans="8:34" x14ac:dyDescent="0.35"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>
        <f t="shared" si="45"/>
        <v>228</v>
      </c>
      <c r="V283" s="95">
        <f t="shared" si="46"/>
        <v>-14523219.051082313</v>
      </c>
      <c r="W283" s="95">
        <f t="shared" si="47"/>
        <v>377504.52912580367</v>
      </c>
      <c r="X283" s="95">
        <f t="shared" si="48"/>
        <v>-14900723.580208117</v>
      </c>
      <c r="Y283" s="95">
        <f t="shared" si="49"/>
        <v>-15042113.46083617</v>
      </c>
      <c r="Z283" s="1"/>
      <c r="AA283" s="1"/>
      <c r="AB283" s="1"/>
      <c r="AC283" s="1"/>
      <c r="AD283" s="1"/>
      <c r="AE283" s="1"/>
      <c r="AF283" s="1"/>
      <c r="AG283" s="1"/>
      <c r="AH283" s="1"/>
    </row>
    <row r="284" spans="8:34" x14ac:dyDescent="0.35"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>
        <f t="shared" si="45"/>
        <v>229</v>
      </c>
      <c r="V284" s="95">
        <f t="shared" si="46"/>
        <v>-15042113.46083617</v>
      </c>
      <c r="W284" s="95">
        <f t="shared" si="47"/>
        <v>379042.5293063501</v>
      </c>
      <c r="X284" s="95">
        <f t="shared" si="48"/>
        <v>-15421155.990142521</v>
      </c>
      <c r="Y284" s="95">
        <f t="shared" si="49"/>
        <v>-15567484.146144887</v>
      </c>
      <c r="Z284" s="1"/>
      <c r="AA284" s="1"/>
      <c r="AB284" s="1"/>
      <c r="AC284" s="1"/>
      <c r="AD284" s="1"/>
      <c r="AE284" s="1"/>
      <c r="AF284" s="1"/>
      <c r="AG284" s="1"/>
      <c r="AH284" s="1"/>
    </row>
    <row r="285" spans="8:34" x14ac:dyDescent="0.35"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>
        <f t="shared" si="45"/>
        <v>230</v>
      </c>
      <c r="V285" s="95">
        <f t="shared" si="46"/>
        <v>-15567484.146144887</v>
      </c>
      <c r="W285" s="95">
        <f t="shared" si="47"/>
        <v>380586.79549001134</v>
      </c>
      <c r="X285" s="95">
        <f t="shared" si="48"/>
        <v>-15948070.941634899</v>
      </c>
      <c r="Y285" s="95">
        <f t="shared" si="49"/>
        <v>-16099398.884506114</v>
      </c>
      <c r="Z285" s="1"/>
      <c r="AA285" s="1"/>
      <c r="AB285" s="1"/>
      <c r="AC285" s="1"/>
      <c r="AD285" s="1"/>
      <c r="AE285" s="1"/>
      <c r="AF285" s="1"/>
      <c r="AG285" s="1"/>
      <c r="AH285" s="1"/>
    </row>
    <row r="286" spans="8:34" x14ac:dyDescent="0.35"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>
        <f t="shared" si="45"/>
        <v>231</v>
      </c>
      <c r="V286" s="95">
        <f t="shared" si="46"/>
        <v>-16099398.884506114</v>
      </c>
      <c r="W286" s="95">
        <f t="shared" si="47"/>
        <v>382137.35320525971</v>
      </c>
      <c r="X286" s="95">
        <f t="shared" si="48"/>
        <v>-16481536.237711374</v>
      </c>
      <c r="Y286" s="95">
        <f t="shared" si="49"/>
        <v>-16637926.122314844</v>
      </c>
      <c r="Z286" s="1"/>
      <c r="AA286" s="1"/>
      <c r="AB286" s="1"/>
      <c r="AC286" s="1"/>
      <c r="AD286" s="1"/>
      <c r="AE286" s="1"/>
      <c r="AF286" s="1"/>
      <c r="AG286" s="1"/>
      <c r="AH286" s="1"/>
    </row>
    <row r="287" spans="8:34" x14ac:dyDescent="0.35"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>
        <f t="shared" si="45"/>
        <v>232</v>
      </c>
      <c r="V287" s="95">
        <f t="shared" si="46"/>
        <v>-16637926.122314844</v>
      </c>
      <c r="W287" s="95">
        <f t="shared" si="47"/>
        <v>383694.2280845737</v>
      </c>
      <c r="X287" s="95">
        <f t="shared" si="48"/>
        <v>-17021620.35039942</v>
      </c>
      <c r="Y287" s="95">
        <f t="shared" si="49"/>
        <v>-17183134.981315445</v>
      </c>
      <c r="Z287" s="1"/>
      <c r="AA287" s="1"/>
      <c r="AB287" s="1"/>
      <c r="AC287" s="1"/>
      <c r="AD287" s="1"/>
      <c r="AE287" s="1"/>
      <c r="AF287" s="1"/>
      <c r="AG287" s="1"/>
      <c r="AH287" s="1"/>
    </row>
    <row r="288" spans="8:34" x14ac:dyDescent="0.35"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>
        <f t="shared" si="45"/>
        <v>233</v>
      </c>
      <c r="V288" s="95">
        <f t="shared" si="46"/>
        <v>-17183134.981315445</v>
      </c>
      <c r="W288" s="95">
        <f t="shared" si="47"/>
        <v>385257.44586486166</v>
      </c>
      <c r="X288" s="95">
        <f t="shared" si="48"/>
        <v>-17568392.427180305</v>
      </c>
      <c r="Y288" s="95">
        <f t="shared" si="49"/>
        <v>-17735095.265115317</v>
      </c>
      <c r="Z288" s="1"/>
      <c r="AA288" s="1"/>
      <c r="AB288" s="1"/>
      <c r="AC288" s="1"/>
      <c r="AD288" s="1"/>
      <c r="AE288" s="1"/>
      <c r="AF288" s="1"/>
      <c r="AG288" s="1"/>
      <c r="AH288" s="1"/>
    </row>
    <row r="289" spans="8:34" x14ac:dyDescent="0.35"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>
        <f t="shared" si="45"/>
        <v>234</v>
      </c>
      <c r="V289" s="95">
        <f t="shared" si="46"/>
        <v>-17735095.265115317</v>
      </c>
      <c r="W289" s="95">
        <f t="shared" si="47"/>
        <v>386827.0323878873</v>
      </c>
      <c r="X289" s="95">
        <f t="shared" si="48"/>
        <v>-18121922.297503203</v>
      </c>
      <c r="Y289" s="95">
        <f t="shared" si="49"/>
        <v>-18293877.465760816</v>
      </c>
      <c r="Z289" s="1"/>
      <c r="AA289" s="1"/>
      <c r="AB289" s="1"/>
      <c r="AC289" s="1"/>
      <c r="AD289" s="1"/>
      <c r="AE289" s="1"/>
      <c r="AF289" s="1"/>
      <c r="AG289" s="1"/>
      <c r="AH289" s="1"/>
    </row>
    <row r="290" spans="8:34" x14ac:dyDescent="0.35"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>
        <f t="shared" si="45"/>
        <v>235</v>
      </c>
      <c r="V290" s="95">
        <f t="shared" si="46"/>
        <v>-18293877.465760816</v>
      </c>
      <c r="W290" s="95">
        <f t="shared" si="47"/>
        <v>388403.01360069693</v>
      </c>
      <c r="X290" s="95">
        <f t="shared" si="48"/>
        <v>-18682280.479361512</v>
      </c>
      <c r="Y290" s="95">
        <f t="shared" si="49"/>
        <v>-18859552.770375974</v>
      </c>
      <c r="Z290" s="1"/>
      <c r="AA290" s="1"/>
      <c r="AB290" s="1"/>
      <c r="AC290" s="1"/>
      <c r="AD290" s="1"/>
      <c r="AE290" s="1"/>
      <c r="AF290" s="1"/>
      <c r="AG290" s="1"/>
      <c r="AH290" s="1"/>
    </row>
    <row r="291" spans="8:34" x14ac:dyDescent="0.35"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>
        <f t="shared" si="45"/>
        <v>236</v>
      </c>
      <c r="V291" s="95">
        <f t="shared" si="46"/>
        <v>-18859552.770375974</v>
      </c>
      <c r="W291" s="95">
        <f t="shared" si="47"/>
        <v>389985.41555604822</v>
      </c>
      <c r="X291" s="95">
        <f t="shared" si="48"/>
        <v>-19249538.185932022</v>
      </c>
      <c r="Y291" s="95">
        <f t="shared" si="49"/>
        <v>-19432193.067864679</v>
      </c>
      <c r="Z291" s="1"/>
      <c r="AA291" s="1"/>
      <c r="AB291" s="1"/>
      <c r="AC291" s="1"/>
      <c r="AD291" s="1"/>
      <c r="AE291" s="1"/>
      <c r="AF291" s="1"/>
      <c r="AG291" s="1"/>
      <c r="AH291" s="1"/>
    </row>
    <row r="292" spans="8:34" x14ac:dyDescent="0.35"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>
        <f t="shared" si="45"/>
        <v>237</v>
      </c>
      <c r="V292" s="95">
        <f t="shared" si="46"/>
        <v>-19432193.067864679</v>
      </c>
      <c r="W292" s="95">
        <f t="shared" si="47"/>
        <v>391574.26441284112</v>
      </c>
      <c r="X292" s="95">
        <f t="shared" si="48"/>
        <v>-19823767.332277521</v>
      </c>
      <c r="Y292" s="95">
        <f t="shared" si="49"/>
        <v>-20011870.955676854</v>
      </c>
      <c r="Z292" s="1"/>
      <c r="AA292" s="1"/>
      <c r="AB292" s="1"/>
      <c r="AC292" s="1"/>
      <c r="AD292" s="1"/>
      <c r="AE292" s="1"/>
      <c r="AF292" s="1"/>
      <c r="AG292" s="1"/>
      <c r="AH292" s="1"/>
    </row>
    <row r="293" spans="8:34" x14ac:dyDescent="0.35"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>
        <f t="shared" si="45"/>
        <v>238</v>
      </c>
      <c r="V293" s="95">
        <f t="shared" si="46"/>
        <v>-20011870.955676854</v>
      </c>
      <c r="W293" s="95">
        <f t="shared" si="47"/>
        <v>393169.58643655007</v>
      </c>
      <c r="X293" s="95">
        <f t="shared" si="48"/>
        <v>-20405040.542113405</v>
      </c>
      <c r="Y293" s="95">
        <f t="shared" si="49"/>
        <v>-20598659.746639293</v>
      </c>
      <c r="Z293" s="1"/>
      <c r="AA293" s="1"/>
      <c r="AB293" s="1"/>
      <c r="AC293" s="1"/>
      <c r="AD293" s="1"/>
      <c r="AE293" s="1"/>
      <c r="AF293" s="1"/>
      <c r="AG293" s="1"/>
      <c r="AH293" s="1"/>
    </row>
    <row r="294" spans="8:34" x14ac:dyDescent="0.35"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>
        <f t="shared" si="45"/>
        <v>239</v>
      </c>
      <c r="V294" s="95">
        <f t="shared" si="46"/>
        <v>-20598659.746639293</v>
      </c>
      <c r="W294" s="95">
        <f t="shared" si="47"/>
        <v>394771.40799965843</v>
      </c>
      <c r="X294" s="95">
        <f t="shared" si="48"/>
        <v>-20993431.15463895</v>
      </c>
      <c r="Y294" s="95">
        <f t="shared" si="49"/>
        <v>-21192633.475851744</v>
      </c>
      <c r="Z294" s="1"/>
      <c r="AA294" s="1"/>
      <c r="AB294" s="1"/>
      <c r="AC294" s="1"/>
      <c r="AD294" s="1"/>
      <c r="AE294" s="1"/>
      <c r="AF294" s="1"/>
      <c r="AG294" s="1"/>
      <c r="AH294" s="1"/>
    </row>
    <row r="295" spans="8:34" x14ac:dyDescent="0.35"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>
        <f t="shared" si="45"/>
        <v>240</v>
      </c>
      <c r="V295" s="95">
        <f t="shared" si="46"/>
        <v>-21192633.475851744</v>
      </c>
      <c r="W295" s="95">
        <f t="shared" si="47"/>
        <v>396379.75558209419</v>
      </c>
      <c r="X295" s="95">
        <f t="shared" si="48"/>
        <v>-21589013.231433839</v>
      </c>
      <c r="Y295" s="95">
        <f t="shared" si="49"/>
        <v>-21793866.907648887</v>
      </c>
      <c r="Z295" s="1"/>
      <c r="AA295" s="1"/>
      <c r="AB295" s="1"/>
      <c r="AC295" s="1"/>
      <c r="AD295" s="1"/>
      <c r="AE295" s="1"/>
      <c r="AF295" s="1"/>
      <c r="AG295" s="1"/>
      <c r="AH295" s="1"/>
    </row>
    <row r="296" spans="8:34" x14ac:dyDescent="0.35"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>
        <f t="shared" si="45"/>
        <v>241</v>
      </c>
      <c r="V296" s="95">
        <f t="shared" si="46"/>
        <v>-21793866.907648887</v>
      </c>
      <c r="W296" s="95">
        <f t="shared" si="47"/>
        <v>397994.65577166795</v>
      </c>
      <c r="X296" s="95">
        <f t="shared" si="48"/>
        <v>-22191861.563420556</v>
      </c>
      <c r="Y296" s="95">
        <f t="shared" si="49"/>
        <v>-22402435.542628787</v>
      </c>
      <c r="Z296" s="1"/>
      <c r="AA296" s="1"/>
      <c r="AB296" s="1"/>
      <c r="AC296" s="1"/>
      <c r="AD296" s="1"/>
      <c r="AE296" s="1"/>
      <c r="AF296" s="1"/>
      <c r="AG296" s="1"/>
      <c r="AH296" s="1"/>
    </row>
    <row r="297" spans="8:34" x14ac:dyDescent="0.35"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>
        <f t="shared" si="45"/>
        <v>242</v>
      </c>
      <c r="V297" s="95">
        <f t="shared" si="46"/>
        <v>-22402435.542628787</v>
      </c>
      <c r="W297" s="95">
        <f t="shared" si="47"/>
        <v>399616.13526451227</v>
      </c>
      <c r="X297" s="95">
        <f t="shared" si="48"/>
        <v>-22802051.6778933</v>
      </c>
      <c r="Y297" s="95">
        <f t="shared" si="49"/>
        <v>-23018415.624748491</v>
      </c>
      <c r="Z297" s="1"/>
      <c r="AA297" s="1"/>
      <c r="AB297" s="1"/>
      <c r="AC297" s="1"/>
      <c r="AD297" s="1"/>
      <c r="AE297" s="1"/>
      <c r="AF297" s="1"/>
      <c r="AG297" s="1"/>
      <c r="AH297" s="1"/>
    </row>
    <row r="298" spans="8:34" x14ac:dyDescent="0.35"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>
        <f t="shared" si="45"/>
        <v>243</v>
      </c>
      <c r="V298" s="95">
        <f t="shared" si="46"/>
        <v>-23018415.624748491</v>
      </c>
      <c r="W298" s="95">
        <f t="shared" si="47"/>
        <v>401244.22086552304</v>
      </c>
      <c r="X298" s="95">
        <f t="shared" si="48"/>
        <v>-23419659.845614012</v>
      </c>
      <c r="Y298" s="95">
        <f t="shared" si="49"/>
        <v>-23641884.148487411</v>
      </c>
      <c r="Z298" s="1"/>
      <c r="AA298" s="1"/>
      <c r="AB298" s="1"/>
      <c r="AC298" s="1"/>
      <c r="AD298" s="1"/>
      <c r="AE298" s="1"/>
      <c r="AF298" s="1"/>
      <c r="AG298" s="1"/>
      <c r="AH298" s="1"/>
    </row>
    <row r="299" spans="8:34" x14ac:dyDescent="0.35"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>
        <f t="shared" si="45"/>
        <v>244</v>
      </c>
      <c r="V299" s="95">
        <f t="shared" si="46"/>
        <v>-23641884.148487411</v>
      </c>
      <c r="W299" s="95">
        <f t="shared" si="47"/>
        <v>402878.93948880269</v>
      </c>
      <c r="X299" s="95">
        <f t="shared" si="48"/>
        <v>-24044763.087976214</v>
      </c>
      <c r="Y299" s="95">
        <f t="shared" si="49"/>
        <v>-24272918.866079126</v>
      </c>
      <c r="Z299" s="1"/>
      <c r="AA299" s="1"/>
      <c r="AB299" s="1"/>
      <c r="AC299" s="1"/>
      <c r="AD299" s="1"/>
      <c r="AE299" s="1"/>
      <c r="AF299" s="1"/>
      <c r="AG299" s="1"/>
      <c r="AH299" s="1"/>
    </row>
    <row r="300" spans="8:34" x14ac:dyDescent="0.35"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>
        <f t="shared" si="45"/>
        <v>245</v>
      </c>
      <c r="V300" s="95">
        <f t="shared" si="46"/>
        <v>-24272918.866079126</v>
      </c>
      <c r="W300" s="95">
        <f t="shared" si="47"/>
        <v>404520.31815810502</v>
      </c>
      <c r="X300" s="95">
        <f t="shared" si="48"/>
        <v>-24677439.184237231</v>
      </c>
      <c r="Y300" s="95">
        <f t="shared" si="49"/>
        <v>-24911598.294812225</v>
      </c>
      <c r="Z300" s="1"/>
      <c r="AA300" s="1"/>
      <c r="AB300" s="1"/>
      <c r="AC300" s="1"/>
      <c r="AD300" s="1"/>
      <c r="AE300" s="1"/>
      <c r="AF300" s="1"/>
      <c r="AG300" s="1"/>
      <c r="AH300" s="1"/>
    </row>
    <row r="301" spans="8:34" x14ac:dyDescent="0.35"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>
        <f t="shared" si="45"/>
        <v>246</v>
      </c>
      <c r="V301" s="95">
        <f t="shared" si="46"/>
        <v>-24911598.294812225</v>
      </c>
      <c r="W301" s="95">
        <f t="shared" si="47"/>
        <v>406168.38400728197</v>
      </c>
      <c r="X301" s="95">
        <f t="shared" si="48"/>
        <v>-25317766.678819507</v>
      </c>
      <c r="Y301" s="95">
        <f t="shared" si="49"/>
        <v>-25558001.724400911</v>
      </c>
      <c r="Z301" s="1"/>
      <c r="AA301" s="1"/>
      <c r="AB301" s="1"/>
      <c r="AC301" s="1"/>
      <c r="AD301" s="1"/>
      <c r="AE301" s="1"/>
      <c r="AF301" s="1"/>
      <c r="AG301" s="1"/>
      <c r="AH301" s="1"/>
    </row>
    <row r="302" spans="8:34" x14ac:dyDescent="0.35"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>
        <f t="shared" si="45"/>
        <v>247</v>
      </c>
      <c r="V302" s="95">
        <f t="shared" si="46"/>
        <v>-25558001.724400911</v>
      </c>
      <c r="W302" s="95">
        <f t="shared" si="47"/>
        <v>407823.16428073205</v>
      </c>
      <c r="X302" s="95">
        <f t="shared" si="48"/>
        <v>-25965824.888681643</v>
      </c>
      <c r="Y302" s="95">
        <f t="shared" si="49"/>
        <v>-26212209.224425986</v>
      </c>
      <c r="Z302" s="1"/>
      <c r="AA302" s="1"/>
      <c r="AB302" s="1"/>
      <c r="AC302" s="1"/>
      <c r="AD302" s="1"/>
      <c r="AE302" s="1"/>
      <c r="AF302" s="1"/>
      <c r="AG302" s="1"/>
      <c r="AH302" s="1"/>
    </row>
    <row r="303" spans="8:34" x14ac:dyDescent="0.35"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>
        <f t="shared" si="45"/>
        <v>248</v>
      </c>
      <c r="V303" s="95">
        <f t="shared" si="46"/>
        <v>-26212209.224425986</v>
      </c>
      <c r="W303" s="95">
        <f t="shared" si="47"/>
        <v>409484.6863338509</v>
      </c>
      <c r="X303" s="95">
        <f t="shared" si="48"/>
        <v>-26621693.910759836</v>
      </c>
      <c r="Y303" s="95">
        <f t="shared" si="49"/>
        <v>-26874301.651846886</v>
      </c>
      <c r="Z303" s="1"/>
      <c r="AA303" s="1"/>
      <c r="AB303" s="1"/>
      <c r="AC303" s="1"/>
      <c r="AD303" s="1"/>
      <c r="AE303" s="1"/>
      <c r="AF303" s="1"/>
      <c r="AG303" s="1"/>
      <c r="AH303" s="1"/>
    </row>
    <row r="304" spans="8:34" x14ac:dyDescent="0.35"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>
        <f t="shared" si="45"/>
        <v>249</v>
      </c>
      <c r="V304" s="95">
        <f t="shared" si="46"/>
        <v>-26874301.651846886</v>
      </c>
      <c r="W304" s="95">
        <f t="shared" si="47"/>
        <v>411152.97763348342</v>
      </c>
      <c r="X304" s="95">
        <f t="shared" si="48"/>
        <v>-27285454.629480369</v>
      </c>
      <c r="Y304" s="95">
        <f t="shared" si="49"/>
        <v>-27544360.65858547</v>
      </c>
      <c r="Z304" s="1"/>
      <c r="AA304" s="1"/>
      <c r="AB304" s="1"/>
      <c r="AC304" s="1"/>
      <c r="AD304" s="1"/>
      <c r="AE304" s="1"/>
      <c r="AF304" s="1"/>
      <c r="AG304" s="1"/>
      <c r="AH304" s="1"/>
    </row>
    <row r="305" spans="8:34" x14ac:dyDescent="0.35"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>
        <f t="shared" si="45"/>
        <v>250</v>
      </c>
      <c r="V305" s="95">
        <f t="shared" si="46"/>
        <v>-27544360.65858547</v>
      </c>
      <c r="W305" s="95">
        <f t="shared" si="47"/>
        <v>412828.06575837784</v>
      </c>
      <c r="X305" s="95">
        <f t="shared" si="48"/>
        <v>-27957188.724343847</v>
      </c>
      <c r="Y305" s="95">
        <f t="shared" si="49"/>
        <v>-28222468.699182205</v>
      </c>
      <c r="Z305" s="1"/>
      <c r="AA305" s="1"/>
      <c r="AB305" s="1"/>
      <c r="AC305" s="1"/>
      <c r="AD305" s="1"/>
      <c r="AE305" s="1"/>
      <c r="AF305" s="1"/>
      <c r="AG305" s="1"/>
      <c r="AH305" s="1"/>
    </row>
    <row r="306" spans="8:34" x14ac:dyDescent="0.35"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>
        <f t="shared" si="45"/>
        <v>251</v>
      </c>
      <c r="V306" s="95">
        <f t="shared" si="46"/>
        <v>-28222468.699182205</v>
      </c>
      <c r="W306" s="95">
        <f t="shared" si="47"/>
        <v>414509.97839964158</v>
      </c>
      <c r="X306" s="95">
        <f t="shared" si="48"/>
        <v>-28636978.677581847</v>
      </c>
      <c r="Y306" s="95">
        <f t="shared" si="49"/>
        <v>-28908709.038525492</v>
      </c>
      <c r="Z306" s="1"/>
      <c r="AA306" s="1"/>
      <c r="AB306" s="1"/>
      <c r="AC306" s="1"/>
      <c r="AD306" s="1"/>
      <c r="AE306" s="1"/>
      <c r="AF306" s="1"/>
      <c r="AG306" s="1"/>
      <c r="AH306" s="1"/>
    </row>
    <row r="307" spans="8:34" x14ac:dyDescent="0.35"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>
        <f t="shared" si="45"/>
        <v>252</v>
      </c>
      <c r="V307" s="95">
        <f t="shared" si="46"/>
        <v>-28908709.038525492</v>
      </c>
      <c r="W307" s="95">
        <f t="shared" si="47"/>
        <v>416198.7433611991</v>
      </c>
      <c r="X307" s="95">
        <f t="shared" si="48"/>
        <v>-29324907.781886689</v>
      </c>
      <c r="Y307" s="95">
        <f t="shared" si="49"/>
        <v>-29603165.759654757</v>
      </c>
      <c r="Z307" s="1"/>
      <c r="AA307" s="1"/>
      <c r="AB307" s="1"/>
      <c r="AC307" s="1"/>
      <c r="AD307" s="1"/>
      <c r="AE307" s="1"/>
      <c r="AF307" s="1"/>
      <c r="AG307" s="1"/>
      <c r="AH307" s="1"/>
    </row>
    <row r="308" spans="8:34" x14ac:dyDescent="0.35"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>
        <f t="shared" si="45"/>
        <v>253</v>
      </c>
      <c r="V308" s="95">
        <f t="shared" si="46"/>
        <v>-29603165.759654757</v>
      </c>
      <c r="W308" s="95">
        <f t="shared" si="47"/>
        <v>417894.38856025151</v>
      </c>
      <c r="X308" s="95">
        <f t="shared" si="48"/>
        <v>-30021060.148215007</v>
      </c>
      <c r="Y308" s="95">
        <f t="shared" si="49"/>
        <v>-30305923.77163808</v>
      </c>
      <c r="Z308" s="1"/>
      <c r="AA308" s="1"/>
      <c r="AB308" s="1"/>
      <c r="AC308" s="1"/>
      <c r="AD308" s="1"/>
      <c r="AE308" s="1"/>
      <c r="AF308" s="1"/>
      <c r="AG308" s="1"/>
      <c r="AH308" s="1"/>
    </row>
    <row r="309" spans="8:34" x14ac:dyDescent="0.35"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>
        <f t="shared" si="45"/>
        <v>254</v>
      </c>
      <c r="V309" s="95">
        <f t="shared" si="46"/>
        <v>-30305923.77163808</v>
      </c>
      <c r="W309" s="95">
        <f t="shared" si="47"/>
        <v>419596.94202773803</v>
      </c>
      <c r="X309" s="95">
        <f t="shared" si="48"/>
        <v>-30725520.713665817</v>
      </c>
      <c r="Y309" s="95">
        <f t="shared" si="49"/>
        <v>-31017068.817525033</v>
      </c>
      <c r="Z309" s="1"/>
      <c r="AA309" s="1"/>
      <c r="AB309" s="1"/>
      <c r="AC309" s="1"/>
      <c r="AD309" s="1"/>
      <c r="AE309" s="1"/>
      <c r="AF309" s="1"/>
      <c r="AG309" s="1"/>
      <c r="AH309" s="1"/>
    </row>
    <row r="310" spans="8:34" x14ac:dyDescent="0.35"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>
        <f t="shared" si="45"/>
        <v>255</v>
      </c>
      <c r="V310" s="95">
        <f t="shared" si="46"/>
        <v>-31017068.817525033</v>
      </c>
      <c r="W310" s="95">
        <f t="shared" si="47"/>
        <v>421306.43190879934</v>
      </c>
      <c r="X310" s="95">
        <f t="shared" si="48"/>
        <v>-31438375.24943383</v>
      </c>
      <c r="Y310" s="95">
        <f t="shared" si="49"/>
        <v>-31736687.482375428</v>
      </c>
      <c r="Z310" s="1"/>
      <c r="AA310" s="1"/>
      <c r="AB310" s="1"/>
      <c r="AC310" s="1"/>
      <c r="AD310" s="1"/>
      <c r="AE310" s="1"/>
      <c r="AF310" s="1"/>
      <c r="AG310" s="1"/>
      <c r="AH310" s="1"/>
    </row>
    <row r="311" spans="8:34" x14ac:dyDescent="0.35"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>
        <f t="shared" si="45"/>
        <v>256</v>
      </c>
      <c r="V311" s="95">
        <f t="shared" si="46"/>
        <v>-31736687.482375428</v>
      </c>
      <c r="W311" s="95">
        <f t="shared" si="47"/>
        <v>423022.88646324299</v>
      </c>
      <c r="X311" s="95">
        <f t="shared" si="48"/>
        <v>-32159710.368838672</v>
      </c>
      <c r="Y311" s="95">
        <f t="shared" si="49"/>
        <v>-32464867.201364744</v>
      </c>
      <c r="Z311" s="1"/>
      <c r="AA311" s="1"/>
      <c r="AB311" s="1"/>
      <c r="AC311" s="1"/>
      <c r="AD311" s="1"/>
      <c r="AE311" s="1"/>
      <c r="AF311" s="1"/>
      <c r="AG311" s="1"/>
      <c r="AH311" s="1"/>
    </row>
    <row r="312" spans="8:34" x14ac:dyDescent="0.35"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>
        <f t="shared" si="45"/>
        <v>257</v>
      </c>
      <c r="V312" s="95">
        <f t="shared" si="46"/>
        <v>-32464867.201364744</v>
      </c>
      <c r="W312" s="95">
        <f t="shared" si="47"/>
        <v>424746.33406601049</v>
      </c>
      <c r="X312" s="95">
        <f t="shared" si="48"/>
        <v>-32889613.535430755</v>
      </c>
      <c r="Y312" s="95">
        <f t="shared" si="49"/>
        <v>-33201696.267966919</v>
      </c>
      <c r="Z312" s="1"/>
      <c r="AA312" s="1"/>
      <c r="AB312" s="1"/>
      <c r="AC312" s="1"/>
      <c r="AD312" s="1"/>
      <c r="AE312" s="1"/>
      <c r="AF312" s="1"/>
      <c r="AG312" s="1"/>
      <c r="AH312" s="1"/>
    </row>
    <row r="313" spans="8:34" x14ac:dyDescent="0.35"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>
        <f t="shared" si="45"/>
        <v>258</v>
      </c>
      <c r="V313" s="95">
        <f t="shared" si="46"/>
        <v>-33201696.267966919</v>
      </c>
      <c r="W313" s="95">
        <f t="shared" si="47"/>
        <v>426476.8032076463</v>
      </c>
      <c r="X313" s="95">
        <f t="shared" si="48"/>
        <v>-33628173.071174562</v>
      </c>
      <c r="Y313" s="95">
        <f t="shared" si="49"/>
        <v>-33947263.842215262</v>
      </c>
      <c r="Z313" s="1"/>
      <c r="AA313" s="1"/>
      <c r="AB313" s="1"/>
      <c r="AC313" s="1"/>
      <c r="AD313" s="1"/>
      <c r="AE313" s="1"/>
      <c r="AF313" s="1"/>
      <c r="AG313" s="1"/>
      <c r="AH313" s="1"/>
    </row>
    <row r="314" spans="8:34" x14ac:dyDescent="0.35"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>
        <f t="shared" ref="U314:U377" si="50">U313+1</f>
        <v>259</v>
      </c>
      <c r="V314" s="95">
        <f t="shared" ref="V314:V377" si="51">Y313</f>
        <v>-33947263.842215262</v>
      </c>
      <c r="W314" s="95">
        <f t="shared" ref="W314:W377" si="52">W313+W313*($F$15/12)</f>
        <v>428214.32249476889</v>
      </c>
      <c r="X314" s="95">
        <f t="shared" ref="X314:X377" si="53">V314-W314</f>
        <v>-34375478.16471003</v>
      </c>
      <c r="Y314" s="95">
        <f t="shared" ref="Y314:Y377" si="54">X314+(X314*($K$9/12))</f>
        <v>-34701659.959042244</v>
      </c>
      <c r="Z314" s="1"/>
      <c r="AA314" s="1"/>
      <c r="AB314" s="1"/>
      <c r="AC314" s="1"/>
      <c r="AD314" s="1"/>
      <c r="AE314" s="1"/>
      <c r="AF314" s="1"/>
      <c r="AG314" s="1"/>
      <c r="AH314" s="1"/>
    </row>
    <row r="315" spans="8:34" x14ac:dyDescent="0.35"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>
        <f t="shared" si="50"/>
        <v>260</v>
      </c>
      <c r="V315" s="95">
        <f t="shared" si="51"/>
        <v>-34701659.959042244</v>
      </c>
      <c r="W315" s="95">
        <f t="shared" si="52"/>
        <v>429958.9206505437</v>
      </c>
      <c r="X315" s="95">
        <f t="shared" si="53"/>
        <v>-35131618.879692785</v>
      </c>
      <c r="Y315" s="95">
        <f t="shared" si="54"/>
        <v>-35464975.536698878</v>
      </c>
      <c r="Z315" s="1"/>
      <c r="AA315" s="1"/>
      <c r="AB315" s="1"/>
      <c r="AC315" s="1"/>
      <c r="AD315" s="1"/>
      <c r="AE315" s="1"/>
      <c r="AF315" s="1"/>
      <c r="AG315" s="1"/>
      <c r="AH315" s="1"/>
    </row>
    <row r="316" spans="8:34" x14ac:dyDescent="0.35"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>
        <f t="shared" si="50"/>
        <v>261</v>
      </c>
      <c r="V316" s="95">
        <f t="shared" si="51"/>
        <v>-35464975.536698878</v>
      </c>
      <c r="W316" s="95">
        <f t="shared" si="52"/>
        <v>431710.62651515787</v>
      </c>
      <c r="X316" s="95">
        <f t="shared" si="53"/>
        <v>-35896686.163214035</v>
      </c>
      <c r="Y316" s="95">
        <f t="shared" si="54"/>
        <v>-36237302.385254487</v>
      </c>
      <c r="Z316" s="1"/>
      <c r="AA316" s="1"/>
      <c r="AB316" s="1"/>
      <c r="AC316" s="1"/>
      <c r="AD316" s="1"/>
      <c r="AE316" s="1"/>
      <c r="AF316" s="1"/>
      <c r="AG316" s="1"/>
      <c r="AH316" s="1"/>
    </row>
    <row r="317" spans="8:34" x14ac:dyDescent="0.35"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>
        <f t="shared" si="50"/>
        <v>262</v>
      </c>
      <c r="V317" s="95">
        <f t="shared" si="51"/>
        <v>-36237302.385254487</v>
      </c>
      <c r="W317" s="95">
        <f t="shared" si="52"/>
        <v>433469.46904629702</v>
      </c>
      <c r="X317" s="95">
        <f t="shared" si="53"/>
        <v>-36670771.854300782</v>
      </c>
      <c r="Y317" s="95">
        <f t="shared" si="54"/>
        <v>-37018733.215177581</v>
      </c>
      <c r="Z317" s="1"/>
      <c r="AA317" s="1"/>
      <c r="AB317" s="1"/>
      <c r="AC317" s="1"/>
      <c r="AD317" s="1"/>
      <c r="AE317" s="1"/>
      <c r="AF317" s="1"/>
      <c r="AG317" s="1"/>
      <c r="AH317" s="1"/>
    </row>
    <row r="318" spans="8:34" x14ac:dyDescent="0.35"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>
        <f t="shared" si="50"/>
        <v>263</v>
      </c>
      <c r="V318" s="95">
        <f t="shared" si="51"/>
        <v>-37018733.215177581</v>
      </c>
      <c r="W318" s="95">
        <f t="shared" si="52"/>
        <v>435235.47731962398</v>
      </c>
      <c r="X318" s="95">
        <f t="shared" si="53"/>
        <v>-37453968.692497201</v>
      </c>
      <c r="Y318" s="95">
        <f t="shared" si="54"/>
        <v>-37809361.645998664</v>
      </c>
      <c r="Z318" s="1"/>
      <c r="AA318" s="1"/>
      <c r="AB318" s="1"/>
      <c r="AC318" s="1"/>
      <c r="AD318" s="1"/>
      <c r="AE318" s="1"/>
      <c r="AF318" s="1"/>
      <c r="AG318" s="1"/>
      <c r="AH318" s="1"/>
    </row>
    <row r="319" spans="8:34" x14ac:dyDescent="0.35"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>
        <f t="shared" si="50"/>
        <v>264</v>
      </c>
      <c r="V319" s="95">
        <f t="shared" si="51"/>
        <v>-37809361.645998664</v>
      </c>
      <c r="W319" s="95">
        <f t="shared" si="52"/>
        <v>437008.68052925944</v>
      </c>
      <c r="X319" s="95">
        <f t="shared" si="53"/>
        <v>-38246370.326527923</v>
      </c>
      <c r="Y319" s="95">
        <f t="shared" si="54"/>
        <v>-38609282.215055726</v>
      </c>
      <c r="Z319" s="1"/>
      <c r="AA319" s="1"/>
      <c r="AB319" s="1"/>
      <c r="AC319" s="1"/>
      <c r="AD319" s="1"/>
      <c r="AE319" s="1"/>
      <c r="AF319" s="1"/>
      <c r="AG319" s="1"/>
      <c r="AH319" s="1"/>
    </row>
    <row r="320" spans="8:34" x14ac:dyDescent="0.35"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>
        <f t="shared" si="50"/>
        <v>265</v>
      </c>
      <c r="V320" s="95">
        <f t="shared" si="51"/>
        <v>-38609282.215055726</v>
      </c>
      <c r="W320" s="95">
        <f t="shared" si="52"/>
        <v>438789.10798826447</v>
      </c>
      <c r="X320" s="95">
        <f t="shared" si="53"/>
        <v>-39048071.323043995</v>
      </c>
      <c r="Y320" s="95">
        <f t="shared" si="54"/>
        <v>-39418590.386323191</v>
      </c>
      <c r="Z320" s="1"/>
      <c r="AA320" s="1"/>
      <c r="AB320" s="1"/>
      <c r="AC320" s="1"/>
      <c r="AD320" s="1"/>
      <c r="AE320" s="1"/>
      <c r="AF320" s="1"/>
      <c r="AG320" s="1"/>
      <c r="AH320" s="1"/>
    </row>
    <row r="321" spans="8:34" x14ac:dyDescent="0.35"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>
        <f t="shared" si="50"/>
        <v>266</v>
      </c>
      <c r="V321" s="95">
        <f t="shared" si="51"/>
        <v>-39418590.386323191</v>
      </c>
      <c r="W321" s="95">
        <f t="shared" si="52"/>
        <v>440576.7891291253</v>
      </c>
      <c r="X321" s="95">
        <f t="shared" si="53"/>
        <v>-39859167.175452314</v>
      </c>
      <c r="Y321" s="95">
        <f t="shared" si="54"/>
        <v>-40237382.559325114</v>
      </c>
      <c r="Z321" s="1"/>
      <c r="AA321" s="1"/>
      <c r="AB321" s="1"/>
      <c r="AC321" s="1"/>
      <c r="AD321" s="1"/>
      <c r="AE321" s="1"/>
      <c r="AF321" s="1"/>
      <c r="AG321" s="1"/>
      <c r="AH321" s="1"/>
    </row>
    <row r="322" spans="8:34" x14ac:dyDescent="0.35"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>
        <f t="shared" si="50"/>
        <v>267</v>
      </c>
      <c r="V322" s="95">
        <f t="shared" si="51"/>
        <v>-40237382.559325114</v>
      </c>
      <c r="W322" s="95">
        <f t="shared" si="52"/>
        <v>442371.75350423972</v>
      </c>
      <c r="X322" s="95">
        <f t="shared" si="53"/>
        <v>-40679754.312829353</v>
      </c>
      <c r="Y322" s="95">
        <f t="shared" si="54"/>
        <v>-41065756.078133501</v>
      </c>
      <c r="Z322" s="1"/>
      <c r="AA322" s="1"/>
      <c r="AB322" s="1"/>
      <c r="AC322" s="1"/>
      <c r="AD322" s="1"/>
      <c r="AE322" s="1"/>
      <c r="AF322" s="1"/>
      <c r="AG322" s="1"/>
      <c r="AH322" s="1"/>
    </row>
    <row r="323" spans="8:34" x14ac:dyDescent="0.35"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>
        <f t="shared" si="50"/>
        <v>268</v>
      </c>
      <c r="V323" s="95">
        <f t="shared" si="51"/>
        <v>-41065756.078133501</v>
      </c>
      <c r="W323" s="95">
        <f t="shared" si="52"/>
        <v>444174.03078640555</v>
      </c>
      <c r="X323" s="95">
        <f t="shared" si="53"/>
        <v>-41509930.108919904</v>
      </c>
      <c r="Y323" s="95">
        <f t="shared" si="54"/>
        <v>-41903809.240452461</v>
      </c>
      <c r="Z323" s="1"/>
      <c r="AA323" s="1"/>
      <c r="AB323" s="1"/>
      <c r="AC323" s="1"/>
      <c r="AD323" s="1"/>
      <c r="AE323" s="1"/>
      <c r="AF323" s="1"/>
      <c r="AG323" s="1"/>
      <c r="AH323" s="1"/>
    </row>
    <row r="324" spans="8:34" x14ac:dyDescent="0.35"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>
        <f t="shared" si="50"/>
        <v>269</v>
      </c>
      <c r="V324" s="95">
        <f t="shared" si="51"/>
        <v>-41903809.240452461</v>
      </c>
      <c r="W324" s="95">
        <f t="shared" si="52"/>
        <v>445983.65076931141</v>
      </c>
      <c r="X324" s="95">
        <f t="shared" si="53"/>
        <v>-42349792.891221769</v>
      </c>
      <c r="Y324" s="95">
        <f t="shared" si="54"/>
        <v>-42751641.306789048</v>
      </c>
      <c r="Z324" s="1"/>
      <c r="AA324" s="1"/>
      <c r="AB324" s="1"/>
      <c r="AC324" s="1"/>
      <c r="AD324" s="1"/>
      <c r="AE324" s="1"/>
      <c r="AF324" s="1"/>
      <c r="AG324" s="1"/>
      <c r="AH324" s="1"/>
    </row>
    <row r="325" spans="8:34" x14ac:dyDescent="0.35"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>
        <f t="shared" si="50"/>
        <v>270</v>
      </c>
      <c r="V325" s="95">
        <f t="shared" si="51"/>
        <v>-42751641.306789048</v>
      </c>
      <c r="W325" s="95">
        <f t="shared" si="52"/>
        <v>447800.64336802898</v>
      </c>
      <c r="X325" s="95">
        <f t="shared" si="53"/>
        <v>-43199441.950157076</v>
      </c>
      <c r="Y325" s="95">
        <f t="shared" si="54"/>
        <v>-43609352.50971166</v>
      </c>
      <c r="Z325" s="1"/>
      <c r="AA325" s="1"/>
      <c r="AB325" s="1"/>
      <c r="AC325" s="1"/>
      <c r="AD325" s="1"/>
      <c r="AE325" s="1"/>
      <c r="AF325" s="1"/>
      <c r="AG325" s="1"/>
      <c r="AH325" s="1"/>
    </row>
    <row r="326" spans="8:34" x14ac:dyDescent="0.35"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>
        <f t="shared" si="50"/>
        <v>271</v>
      </c>
      <c r="V326" s="95">
        <f t="shared" si="51"/>
        <v>-43609352.50971166</v>
      </c>
      <c r="W326" s="95">
        <f t="shared" si="52"/>
        <v>449625.03861950769</v>
      </c>
      <c r="X326" s="95">
        <f t="shared" si="53"/>
        <v>-44058977.548331171</v>
      </c>
      <c r="Y326" s="95">
        <f t="shared" si="54"/>
        <v>-44477044.063196726</v>
      </c>
      <c r="Z326" s="1"/>
      <c r="AA326" s="1"/>
      <c r="AB326" s="1"/>
      <c r="AC326" s="1"/>
      <c r="AD326" s="1"/>
      <c r="AE326" s="1"/>
      <c r="AF326" s="1"/>
      <c r="AG326" s="1"/>
      <c r="AH326" s="1"/>
    </row>
    <row r="327" spans="8:34" x14ac:dyDescent="0.35"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>
        <f t="shared" si="50"/>
        <v>272</v>
      </c>
      <c r="V327" s="95">
        <f t="shared" si="51"/>
        <v>-44477044.063196726</v>
      </c>
      <c r="W327" s="95">
        <f t="shared" si="52"/>
        <v>451456.86668307125</v>
      </c>
      <c r="X327" s="95">
        <f t="shared" si="53"/>
        <v>-44928500.929879799</v>
      </c>
      <c r="Y327" s="95">
        <f t="shared" si="54"/>
        <v>-45354818.172064647</v>
      </c>
      <c r="Z327" s="1"/>
      <c r="AA327" s="1"/>
      <c r="AB327" s="1"/>
      <c r="AC327" s="1"/>
      <c r="AD327" s="1"/>
      <c r="AE327" s="1"/>
      <c r="AF327" s="1"/>
      <c r="AG327" s="1"/>
      <c r="AH327" s="1"/>
    </row>
    <row r="328" spans="8:34" x14ac:dyDescent="0.35"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>
        <f t="shared" si="50"/>
        <v>273</v>
      </c>
      <c r="V328" s="95">
        <f t="shared" si="51"/>
        <v>-45354818.172064647</v>
      </c>
      <c r="W328" s="95">
        <f t="shared" si="52"/>
        <v>453296.15784091613</v>
      </c>
      <c r="X328" s="95">
        <f t="shared" si="53"/>
        <v>-45808114.329905562</v>
      </c>
      <c r="Y328" s="95">
        <f t="shared" si="54"/>
        <v>-46242778.041505739</v>
      </c>
      <c r="Z328" s="1"/>
      <c r="AA328" s="1"/>
      <c r="AB328" s="1"/>
      <c r="AC328" s="1"/>
      <c r="AD328" s="1"/>
      <c r="AE328" s="1"/>
      <c r="AF328" s="1"/>
      <c r="AG328" s="1"/>
      <c r="AH328" s="1"/>
    </row>
    <row r="329" spans="8:34" x14ac:dyDescent="0.35"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>
        <f t="shared" si="50"/>
        <v>274</v>
      </c>
      <c r="V329" s="95">
        <f t="shared" si="51"/>
        <v>-46242778.041505739</v>
      </c>
      <c r="W329" s="95">
        <f t="shared" si="52"/>
        <v>455142.94249861222</v>
      </c>
      <c r="X329" s="95">
        <f t="shared" si="53"/>
        <v>-46697920.984004349</v>
      </c>
      <c r="Y329" s="95">
        <f t="shared" si="54"/>
        <v>-47141027.886697084</v>
      </c>
      <c r="Z329" s="1"/>
      <c r="AA329" s="1"/>
      <c r="AB329" s="1"/>
      <c r="AC329" s="1"/>
      <c r="AD329" s="1"/>
      <c r="AE329" s="1"/>
      <c r="AF329" s="1"/>
      <c r="AG329" s="1"/>
      <c r="AH329" s="1"/>
    </row>
    <row r="330" spans="8:34" x14ac:dyDescent="0.35"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>
        <f t="shared" si="50"/>
        <v>275</v>
      </c>
      <c r="V330" s="95">
        <f t="shared" si="51"/>
        <v>-47141027.886697084</v>
      </c>
      <c r="W330" s="95">
        <f t="shared" si="52"/>
        <v>456997.25118560554</v>
      </c>
      <c r="X330" s="95">
        <f t="shared" si="53"/>
        <v>-47598025.137882687</v>
      </c>
      <c r="Y330" s="95">
        <f t="shared" si="54"/>
        <v>-48049672.942511134</v>
      </c>
      <c r="Z330" s="1"/>
      <c r="AA330" s="1"/>
      <c r="AB330" s="1"/>
      <c r="AC330" s="1"/>
      <c r="AD330" s="1"/>
      <c r="AE330" s="1"/>
      <c r="AF330" s="1"/>
      <c r="AG330" s="1"/>
      <c r="AH330" s="1"/>
    </row>
    <row r="331" spans="8:34" x14ac:dyDescent="0.35"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>
        <f t="shared" si="50"/>
        <v>276</v>
      </c>
      <c r="V331" s="95">
        <f t="shared" si="51"/>
        <v>-48049672.942511134</v>
      </c>
      <c r="W331" s="95">
        <f t="shared" si="52"/>
        <v>458859.11455572274</v>
      </c>
      <c r="X331" s="95">
        <f t="shared" si="53"/>
        <v>-48508532.057066858</v>
      </c>
      <c r="Y331" s="95">
        <f t="shared" si="54"/>
        <v>-48968819.473316953</v>
      </c>
      <c r="Z331" s="1"/>
      <c r="AA331" s="1"/>
      <c r="AB331" s="1"/>
      <c r="AC331" s="1"/>
      <c r="AD331" s="1"/>
      <c r="AE331" s="1"/>
      <c r="AF331" s="1"/>
      <c r="AG331" s="1"/>
      <c r="AH331" s="1"/>
    </row>
    <row r="332" spans="8:34" x14ac:dyDescent="0.35"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>
        <f t="shared" si="50"/>
        <v>277</v>
      </c>
      <c r="V332" s="95">
        <f t="shared" si="51"/>
        <v>-48968819.473316953</v>
      </c>
      <c r="W332" s="95">
        <f t="shared" si="52"/>
        <v>460728.56338767806</v>
      </c>
      <c r="X332" s="95">
        <f t="shared" si="53"/>
        <v>-49429548.03670463</v>
      </c>
      <c r="Y332" s="95">
        <f t="shared" si="54"/>
        <v>-49898574.782874949</v>
      </c>
      <c r="Z332" s="1"/>
      <c r="AA332" s="1"/>
      <c r="AB332" s="1"/>
      <c r="AC332" s="1"/>
      <c r="AD332" s="1"/>
      <c r="AE332" s="1"/>
      <c r="AF332" s="1"/>
      <c r="AG332" s="1"/>
      <c r="AH332" s="1"/>
    </row>
    <row r="333" spans="8:34" x14ac:dyDescent="0.35"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>
        <f t="shared" si="50"/>
        <v>278</v>
      </c>
      <c r="V333" s="95">
        <f t="shared" si="51"/>
        <v>-49898574.782874949</v>
      </c>
      <c r="W333" s="95">
        <f t="shared" si="52"/>
        <v>462605.62858558196</v>
      </c>
      <c r="X333" s="95">
        <f t="shared" si="53"/>
        <v>-50361180.411460534</v>
      </c>
      <c r="Y333" s="95">
        <f t="shared" si="54"/>
        <v>-50839047.224326059</v>
      </c>
      <c r="Z333" s="1"/>
      <c r="AA333" s="1"/>
      <c r="AB333" s="1"/>
      <c r="AC333" s="1"/>
      <c r="AD333" s="1"/>
      <c r="AE333" s="1"/>
      <c r="AF333" s="1"/>
      <c r="AG333" s="1"/>
      <c r="AH333" s="1"/>
    </row>
    <row r="334" spans="8:34" x14ac:dyDescent="0.35"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>
        <f t="shared" si="50"/>
        <v>279</v>
      </c>
      <c r="V334" s="95">
        <f t="shared" si="51"/>
        <v>-50839047.224326059</v>
      </c>
      <c r="W334" s="95">
        <f t="shared" si="52"/>
        <v>464490.34117945208</v>
      </c>
      <c r="X334" s="95">
        <f t="shared" si="53"/>
        <v>-51303537.565505512</v>
      </c>
      <c r="Y334" s="95">
        <f t="shared" si="54"/>
        <v>-51790346.210276194</v>
      </c>
      <c r="Z334" s="1"/>
      <c r="AA334" s="1"/>
      <c r="AB334" s="1"/>
      <c r="AC334" s="1"/>
      <c r="AD334" s="1"/>
      <c r="AE334" s="1"/>
      <c r="AF334" s="1"/>
      <c r="AG334" s="1"/>
      <c r="AH334" s="1"/>
    </row>
    <row r="335" spans="8:34" x14ac:dyDescent="0.35"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>
        <f t="shared" si="50"/>
        <v>280</v>
      </c>
      <c r="V335" s="95">
        <f t="shared" si="51"/>
        <v>-51790346.210276194</v>
      </c>
      <c r="W335" s="95">
        <f t="shared" si="52"/>
        <v>466382.73232572625</v>
      </c>
      <c r="X335" s="95">
        <f t="shared" si="53"/>
        <v>-52256728.942601919</v>
      </c>
      <c r="Y335" s="95">
        <f t="shared" si="54"/>
        <v>-52752582.222976901</v>
      </c>
      <c r="Z335" s="1"/>
      <c r="AA335" s="1"/>
      <c r="AB335" s="1"/>
      <c r="AC335" s="1"/>
      <c r="AD335" s="1"/>
      <c r="AE335" s="1"/>
      <c r="AF335" s="1"/>
      <c r="AG335" s="1"/>
      <c r="AH335" s="1"/>
    </row>
    <row r="336" spans="8:34" x14ac:dyDescent="0.35"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>
        <f t="shared" si="50"/>
        <v>281</v>
      </c>
      <c r="V336" s="95">
        <f t="shared" si="51"/>
        <v>-52752582.222976901</v>
      </c>
      <c r="W336" s="95">
        <f t="shared" si="52"/>
        <v>468282.83330777742</v>
      </c>
      <c r="X336" s="95">
        <f t="shared" si="53"/>
        <v>-53220865.056284681</v>
      </c>
      <c r="Y336" s="95">
        <f t="shared" si="54"/>
        <v>-53725866.824603155</v>
      </c>
      <c r="Z336" s="1"/>
      <c r="AA336" s="1"/>
      <c r="AB336" s="1"/>
      <c r="AC336" s="1"/>
      <c r="AD336" s="1"/>
      <c r="AE336" s="1"/>
      <c r="AF336" s="1"/>
      <c r="AG336" s="1"/>
      <c r="AH336" s="1"/>
    </row>
    <row r="337" spans="8:34" x14ac:dyDescent="0.35"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>
        <f t="shared" si="50"/>
        <v>282</v>
      </c>
      <c r="V337" s="95">
        <f t="shared" si="51"/>
        <v>-53725866.824603155</v>
      </c>
      <c r="W337" s="95">
        <f t="shared" si="52"/>
        <v>470190.67553643085</v>
      </c>
      <c r="X337" s="95">
        <f t="shared" si="53"/>
        <v>-54196057.500139587</v>
      </c>
      <c r="Y337" s="95">
        <f t="shared" si="54"/>
        <v>-54710312.667629167</v>
      </c>
      <c r="Z337" s="1"/>
      <c r="AA337" s="1"/>
      <c r="AB337" s="1"/>
      <c r="AC337" s="1"/>
      <c r="AD337" s="1"/>
      <c r="AE337" s="1"/>
      <c r="AF337" s="1"/>
      <c r="AG337" s="1"/>
      <c r="AH337" s="1"/>
    </row>
    <row r="338" spans="8:34" x14ac:dyDescent="0.35"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>
        <f t="shared" si="50"/>
        <v>283</v>
      </c>
      <c r="V338" s="95">
        <f t="shared" si="51"/>
        <v>-54710312.667629167</v>
      </c>
      <c r="W338" s="95">
        <f t="shared" si="52"/>
        <v>472106.29055048351</v>
      </c>
      <c r="X338" s="95">
        <f t="shared" si="53"/>
        <v>-55182418.958179653</v>
      </c>
      <c r="Y338" s="95">
        <f t="shared" si="54"/>
        <v>-55706033.505303226</v>
      </c>
      <c r="Z338" s="1"/>
      <c r="AA338" s="1"/>
      <c r="AB338" s="1"/>
      <c r="AC338" s="1"/>
      <c r="AD338" s="1"/>
      <c r="AE338" s="1"/>
      <c r="AF338" s="1"/>
      <c r="AG338" s="1"/>
      <c r="AH338" s="1"/>
    </row>
    <row r="339" spans="8:34" x14ac:dyDescent="0.35"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>
        <f t="shared" si="50"/>
        <v>284</v>
      </c>
      <c r="V339" s="95">
        <f t="shared" si="51"/>
        <v>-55706033.505303226</v>
      </c>
      <c r="W339" s="95">
        <f t="shared" si="52"/>
        <v>474029.71001722524</v>
      </c>
      <c r="X339" s="95">
        <f t="shared" si="53"/>
        <v>-56180063.215320453</v>
      </c>
      <c r="Y339" s="95">
        <f t="shared" si="54"/>
        <v>-56713144.202222414</v>
      </c>
      <c r="Z339" s="1"/>
      <c r="AA339" s="1"/>
      <c r="AB339" s="1"/>
      <c r="AC339" s="1"/>
      <c r="AD339" s="1"/>
      <c r="AE339" s="1"/>
      <c r="AF339" s="1"/>
      <c r="AG339" s="1"/>
      <c r="AH339" s="1"/>
    </row>
    <row r="340" spans="8:34" x14ac:dyDescent="0.35"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>
        <f t="shared" si="50"/>
        <v>285</v>
      </c>
      <c r="V340" s="95">
        <f t="shared" si="51"/>
        <v>-56713144.202222414</v>
      </c>
      <c r="W340" s="95">
        <f t="shared" si="52"/>
        <v>475960.96573296236</v>
      </c>
      <c r="X340" s="95">
        <f t="shared" si="53"/>
        <v>-57189105.167955376</v>
      </c>
      <c r="Y340" s="95">
        <f t="shared" si="54"/>
        <v>-57731760.7450082</v>
      </c>
      <c r="Z340" s="1"/>
      <c r="AA340" s="1"/>
      <c r="AB340" s="1"/>
      <c r="AC340" s="1"/>
      <c r="AD340" s="1"/>
      <c r="AE340" s="1"/>
      <c r="AF340" s="1"/>
      <c r="AG340" s="1"/>
      <c r="AH340" s="1"/>
    </row>
    <row r="341" spans="8:34" x14ac:dyDescent="0.35"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>
        <f t="shared" si="50"/>
        <v>286</v>
      </c>
      <c r="V341" s="95">
        <f t="shared" si="51"/>
        <v>-57731760.7450082</v>
      </c>
      <c r="W341" s="95">
        <f t="shared" si="52"/>
        <v>477900.08962354326</v>
      </c>
      <c r="X341" s="95">
        <f t="shared" si="53"/>
        <v>-58209660.834631741</v>
      </c>
      <c r="Y341" s="95">
        <f t="shared" si="54"/>
        <v>-58762000.25308387</v>
      </c>
      <c r="Z341" s="1"/>
      <c r="AA341" s="1"/>
      <c r="AB341" s="1"/>
      <c r="AC341" s="1"/>
      <c r="AD341" s="1"/>
      <c r="AE341" s="1"/>
      <c r="AF341" s="1"/>
      <c r="AG341" s="1"/>
      <c r="AH341" s="1"/>
    </row>
    <row r="342" spans="8:34" x14ac:dyDescent="0.35"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>
        <f t="shared" si="50"/>
        <v>287</v>
      </c>
      <c r="V342" s="95">
        <f t="shared" si="51"/>
        <v>-58762000.25308387</v>
      </c>
      <c r="W342" s="95">
        <f t="shared" si="52"/>
        <v>479847.11374488624</v>
      </c>
      <c r="X342" s="95">
        <f t="shared" si="53"/>
        <v>-59241847.366828755</v>
      </c>
      <c r="Y342" s="95">
        <f t="shared" si="54"/>
        <v>-59803980.989554763</v>
      </c>
      <c r="Z342" s="1"/>
      <c r="AA342" s="1"/>
      <c r="AB342" s="1"/>
      <c r="AC342" s="1"/>
      <c r="AD342" s="1"/>
      <c r="AE342" s="1"/>
      <c r="AF342" s="1"/>
      <c r="AG342" s="1"/>
      <c r="AH342" s="1"/>
    </row>
    <row r="343" spans="8:34" x14ac:dyDescent="0.35"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>
        <f t="shared" si="50"/>
        <v>288</v>
      </c>
      <c r="V343" s="95">
        <f t="shared" si="51"/>
        <v>-59803980.989554763</v>
      </c>
      <c r="W343" s="95">
        <f t="shared" si="52"/>
        <v>481802.07028350933</v>
      </c>
      <c r="X343" s="95">
        <f t="shared" si="53"/>
        <v>-60285783.059838273</v>
      </c>
      <c r="Y343" s="95">
        <f t="shared" si="54"/>
        <v>-60857822.372192271</v>
      </c>
      <c r="Z343" s="1"/>
      <c r="AA343" s="1"/>
      <c r="AB343" s="1"/>
      <c r="AC343" s="1"/>
      <c r="AD343" s="1"/>
      <c r="AE343" s="1"/>
      <c r="AF343" s="1"/>
      <c r="AG343" s="1"/>
      <c r="AH343" s="1"/>
    </row>
    <row r="344" spans="8:34" x14ac:dyDescent="0.35"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>
        <f t="shared" si="50"/>
        <v>289</v>
      </c>
      <c r="V344" s="95">
        <f t="shared" si="51"/>
        <v>-60857822.372192271</v>
      </c>
      <c r="W344" s="95">
        <f t="shared" si="52"/>
        <v>483764.99155706237</v>
      </c>
      <c r="X344" s="95">
        <f t="shared" si="53"/>
        <v>-61341587.363749333</v>
      </c>
      <c r="Y344" s="95">
        <f t="shared" si="54"/>
        <v>-61923644.984522589</v>
      </c>
      <c r="Z344" s="1"/>
      <c r="AA344" s="1"/>
      <c r="AB344" s="1"/>
      <c r="AC344" s="1"/>
      <c r="AD344" s="1"/>
      <c r="AE344" s="1"/>
      <c r="AF344" s="1"/>
      <c r="AG344" s="1"/>
      <c r="AH344" s="1"/>
    </row>
    <row r="345" spans="8:34" x14ac:dyDescent="0.35"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>
        <f t="shared" si="50"/>
        <v>290</v>
      </c>
      <c r="V345" s="95">
        <f t="shared" si="51"/>
        <v>-61923644.984522589</v>
      </c>
      <c r="W345" s="95">
        <f t="shared" si="52"/>
        <v>485735.91001486144</v>
      </c>
      <c r="X345" s="95">
        <f t="shared" si="53"/>
        <v>-62409380.894537449</v>
      </c>
      <c r="Y345" s="95">
        <f t="shared" si="54"/>
        <v>-63001570.587021239</v>
      </c>
      <c r="Z345" s="1"/>
      <c r="AA345" s="1"/>
      <c r="AB345" s="1"/>
      <c r="AC345" s="1"/>
      <c r="AD345" s="1"/>
      <c r="AE345" s="1"/>
      <c r="AF345" s="1"/>
      <c r="AG345" s="1"/>
      <c r="AH345" s="1"/>
    </row>
    <row r="346" spans="8:34" x14ac:dyDescent="0.35"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>
        <f t="shared" si="50"/>
        <v>291</v>
      </c>
      <c r="V346" s="95">
        <f t="shared" si="51"/>
        <v>-63001570.587021239</v>
      </c>
      <c r="W346" s="95">
        <f t="shared" si="52"/>
        <v>487714.85823842505</v>
      </c>
      <c r="X346" s="95">
        <f t="shared" si="53"/>
        <v>-63489285.44525966</v>
      </c>
      <c r="Y346" s="95">
        <f t="shared" si="54"/>
        <v>-64091722.12841437</v>
      </c>
      <c r="Z346" s="1"/>
      <c r="AA346" s="1"/>
      <c r="AB346" s="1"/>
      <c r="AC346" s="1"/>
      <c r="AD346" s="1"/>
      <c r="AE346" s="1"/>
      <c r="AF346" s="1"/>
      <c r="AG346" s="1"/>
      <c r="AH346" s="1"/>
    </row>
    <row r="347" spans="8:34" x14ac:dyDescent="0.35"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>
        <f t="shared" si="50"/>
        <v>292</v>
      </c>
      <c r="V347" s="95">
        <f t="shared" si="51"/>
        <v>-64091722.12841437</v>
      </c>
      <c r="W347" s="95">
        <f t="shared" si="52"/>
        <v>489701.86894201289</v>
      </c>
      <c r="X347" s="95">
        <f t="shared" si="53"/>
        <v>-64581423.997356385</v>
      </c>
      <c r="Y347" s="95">
        <f t="shared" si="54"/>
        <v>-65194223.757087812</v>
      </c>
      <c r="Z347" s="1"/>
      <c r="AA347" s="1"/>
      <c r="AB347" s="1"/>
      <c r="AC347" s="1"/>
      <c r="AD347" s="1"/>
      <c r="AE347" s="1"/>
      <c r="AF347" s="1"/>
      <c r="AG347" s="1"/>
      <c r="AH347" s="1"/>
    </row>
    <row r="348" spans="8:34" x14ac:dyDescent="0.35"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>
        <f t="shared" si="50"/>
        <v>293</v>
      </c>
      <c r="V348" s="95">
        <f t="shared" si="51"/>
        <v>-65194223.757087812</v>
      </c>
      <c r="W348" s="95">
        <f t="shared" si="52"/>
        <v>491696.97497316659</v>
      </c>
      <c r="X348" s="95">
        <f t="shared" si="53"/>
        <v>-65685920.732060976</v>
      </c>
      <c r="Y348" s="95">
        <f t="shared" si="54"/>
        <v>-66309200.832604937</v>
      </c>
      <c r="Z348" s="1"/>
      <c r="AA348" s="1"/>
      <c r="AB348" s="1"/>
      <c r="AC348" s="1"/>
      <c r="AD348" s="1"/>
      <c r="AE348" s="1"/>
      <c r="AF348" s="1"/>
      <c r="AG348" s="1"/>
      <c r="AH348" s="1"/>
    </row>
    <row r="349" spans="8:34" x14ac:dyDescent="0.35"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>
        <f t="shared" si="50"/>
        <v>294</v>
      </c>
      <c r="V349" s="95">
        <f t="shared" si="51"/>
        <v>-66309200.832604937</v>
      </c>
      <c r="W349" s="95">
        <f t="shared" si="52"/>
        <v>493700.20931325271</v>
      </c>
      <c r="X349" s="95">
        <f t="shared" si="53"/>
        <v>-66802901.041918188</v>
      </c>
      <c r="Y349" s="95">
        <f t="shared" si="54"/>
        <v>-67436779.937334388</v>
      </c>
      <c r="Z349" s="1"/>
      <c r="AA349" s="1"/>
      <c r="AB349" s="1"/>
      <c r="AC349" s="1"/>
      <c r="AD349" s="1"/>
      <c r="AE349" s="1"/>
      <c r="AF349" s="1"/>
      <c r="AG349" s="1"/>
      <c r="AH349" s="1"/>
    </row>
    <row r="350" spans="8:34" x14ac:dyDescent="0.35"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>
        <f t="shared" si="50"/>
        <v>295</v>
      </c>
      <c r="V350" s="95">
        <f t="shared" si="51"/>
        <v>-67436779.937334388</v>
      </c>
      <c r="W350" s="95">
        <f t="shared" si="52"/>
        <v>495711.60507800803</v>
      </c>
      <c r="X350" s="95">
        <f t="shared" si="53"/>
        <v>-67932491.5424124</v>
      </c>
      <c r="Y350" s="95">
        <f t="shared" si="54"/>
        <v>-68577088.88818866</v>
      </c>
      <c r="Z350" s="1"/>
      <c r="AA350" s="1"/>
      <c r="AB350" s="1"/>
      <c r="AC350" s="1"/>
      <c r="AD350" s="1"/>
      <c r="AE350" s="1"/>
      <c r="AF350" s="1"/>
      <c r="AG350" s="1"/>
      <c r="AH350" s="1"/>
    </row>
    <row r="351" spans="8:34" x14ac:dyDescent="0.35"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>
        <f t="shared" si="50"/>
        <v>296</v>
      </c>
      <c r="V351" s="95">
        <f t="shared" si="51"/>
        <v>-68577088.88818866</v>
      </c>
      <c r="W351" s="95">
        <f t="shared" si="52"/>
        <v>497731.19551808684</v>
      </c>
      <c r="X351" s="95">
        <f t="shared" si="53"/>
        <v>-69074820.083706751</v>
      </c>
      <c r="Y351" s="95">
        <f t="shared" si="54"/>
        <v>-69730256.748474628</v>
      </c>
      <c r="Z351" s="1"/>
      <c r="AA351" s="1"/>
      <c r="AB351" s="1"/>
      <c r="AC351" s="1"/>
      <c r="AD351" s="1"/>
      <c r="AE351" s="1"/>
      <c r="AF351" s="1"/>
      <c r="AG351" s="1"/>
      <c r="AH351" s="1"/>
    </row>
    <row r="352" spans="8:34" x14ac:dyDescent="0.35"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>
        <f t="shared" si="50"/>
        <v>297</v>
      </c>
      <c r="V352" s="95">
        <f t="shared" si="51"/>
        <v>-69730256.748474628</v>
      </c>
      <c r="W352" s="95">
        <f t="shared" si="52"/>
        <v>499759.01401961083</v>
      </c>
      <c r="X352" s="95">
        <f t="shared" si="53"/>
        <v>-70230015.762494236</v>
      </c>
      <c r="Y352" s="95">
        <f t="shared" si="54"/>
        <v>-70896413.839857042</v>
      </c>
      <c r="Z352" s="1"/>
      <c r="AA352" s="1"/>
      <c r="AB352" s="1"/>
      <c r="AC352" s="1"/>
      <c r="AD352" s="1"/>
      <c r="AE352" s="1"/>
      <c r="AF352" s="1"/>
      <c r="AG352" s="1"/>
      <c r="AH352" s="1"/>
    </row>
    <row r="353" spans="8:34" x14ac:dyDescent="0.35"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>
        <f t="shared" si="50"/>
        <v>298</v>
      </c>
      <c r="V353" s="95">
        <f t="shared" si="51"/>
        <v>-70896413.839857042</v>
      </c>
      <c r="W353" s="95">
        <f t="shared" si="52"/>
        <v>501795.09410472075</v>
      </c>
      <c r="X353" s="95">
        <f t="shared" si="53"/>
        <v>-71398208.933961764</v>
      </c>
      <c r="Y353" s="95">
        <f t="shared" si="54"/>
        <v>-72075691.754436225</v>
      </c>
      <c r="Z353" s="1"/>
      <c r="AA353" s="1"/>
      <c r="AB353" s="1"/>
      <c r="AC353" s="1"/>
      <c r="AD353" s="1"/>
      <c r="AE353" s="1"/>
      <c r="AF353" s="1"/>
      <c r="AG353" s="1"/>
      <c r="AH353" s="1"/>
    </row>
    <row r="354" spans="8:34" x14ac:dyDescent="0.35"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>
        <f t="shared" si="50"/>
        <v>299</v>
      </c>
      <c r="V354" s="95">
        <f t="shared" si="51"/>
        <v>-72075691.754436225</v>
      </c>
      <c r="W354" s="95">
        <f t="shared" si="52"/>
        <v>503839.46943213086</v>
      </c>
      <c r="X354" s="95">
        <f t="shared" si="53"/>
        <v>-72579531.223868355</v>
      </c>
      <c r="Y354" s="95">
        <f t="shared" si="54"/>
        <v>-73268223.366940752</v>
      </c>
      <c r="Z354" s="1"/>
      <c r="AA354" s="1"/>
      <c r="AB354" s="1"/>
      <c r="AC354" s="1"/>
      <c r="AD354" s="1"/>
      <c r="AE354" s="1"/>
      <c r="AF354" s="1"/>
      <c r="AG354" s="1"/>
      <c r="AH354" s="1"/>
    </row>
    <row r="355" spans="8:34" x14ac:dyDescent="0.35"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>
        <f t="shared" si="50"/>
        <v>300</v>
      </c>
      <c r="V355" s="95">
        <f t="shared" si="51"/>
        <v>-73268223.366940752</v>
      </c>
      <c r="W355" s="95">
        <f t="shared" si="52"/>
        <v>505892.17379768507</v>
      </c>
      <c r="X355" s="95">
        <f t="shared" si="53"/>
        <v>-73774115.540738434</v>
      </c>
      <c r="Y355" s="95">
        <f t="shared" si="54"/>
        <v>-74474142.847036511</v>
      </c>
      <c r="Z355" s="1"/>
      <c r="AA355" s="1"/>
      <c r="AB355" s="1"/>
      <c r="AC355" s="1"/>
      <c r="AD355" s="1"/>
      <c r="AE355" s="1"/>
      <c r="AF355" s="1"/>
      <c r="AG355" s="1"/>
      <c r="AH355" s="1"/>
    </row>
    <row r="356" spans="8:34" x14ac:dyDescent="0.35"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>
        <f t="shared" si="50"/>
        <v>301</v>
      </c>
      <c r="V356" s="95">
        <f t="shared" si="51"/>
        <v>-74474142.847036511</v>
      </c>
      <c r="W356" s="95">
        <f t="shared" si="52"/>
        <v>507953.24113491579</v>
      </c>
      <c r="X356" s="95">
        <f t="shared" si="53"/>
        <v>-74982096.088171422</v>
      </c>
      <c r="Y356" s="95">
        <f t="shared" si="54"/>
        <v>-75693585.671753094</v>
      </c>
      <c r="Z356" s="1"/>
      <c r="AA356" s="1"/>
      <c r="AB356" s="1"/>
      <c r="AC356" s="1"/>
      <c r="AD356" s="1"/>
      <c r="AE356" s="1"/>
      <c r="AF356" s="1"/>
      <c r="AG356" s="1"/>
      <c r="AH356" s="1"/>
    </row>
    <row r="357" spans="8:34" x14ac:dyDescent="0.35"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>
        <f t="shared" si="50"/>
        <v>302</v>
      </c>
      <c r="V357" s="95">
        <f t="shared" si="51"/>
        <v>-75693585.671753094</v>
      </c>
      <c r="W357" s="95">
        <f t="shared" si="52"/>
        <v>510022.70551560482</v>
      </c>
      <c r="X357" s="95">
        <f t="shared" si="53"/>
        <v>-76203608.377268702</v>
      </c>
      <c r="Y357" s="95">
        <f t="shared" si="54"/>
        <v>-76926688.638028666</v>
      </c>
      <c r="Z357" s="1"/>
      <c r="AA357" s="1"/>
      <c r="AB357" s="1"/>
      <c r="AC357" s="1"/>
      <c r="AD357" s="1"/>
      <c r="AE357" s="1"/>
      <c r="AF357" s="1"/>
      <c r="AG357" s="1"/>
      <c r="AH357" s="1"/>
    </row>
    <row r="358" spans="8:34" x14ac:dyDescent="0.35"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>
        <f t="shared" si="50"/>
        <v>303</v>
      </c>
      <c r="V358" s="95">
        <f t="shared" si="51"/>
        <v>-76926688.638028666</v>
      </c>
      <c r="W358" s="95">
        <f t="shared" si="52"/>
        <v>512100.60115034663</v>
      </c>
      <c r="X358" s="95">
        <f t="shared" si="53"/>
        <v>-77438789.239179015</v>
      </c>
      <c r="Y358" s="95">
        <f t="shared" si="54"/>
        <v>-78173589.875374407</v>
      </c>
      <c r="Z358" s="1"/>
      <c r="AA358" s="1"/>
      <c r="AB358" s="1"/>
      <c r="AC358" s="1"/>
      <c r="AD358" s="1"/>
      <c r="AE358" s="1"/>
      <c r="AF358" s="1"/>
      <c r="AG358" s="1"/>
      <c r="AH358" s="1"/>
    </row>
    <row r="359" spans="8:34" x14ac:dyDescent="0.35"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>
        <f t="shared" si="50"/>
        <v>304</v>
      </c>
      <c r="V359" s="95">
        <f t="shared" si="51"/>
        <v>-78173589.875374407</v>
      </c>
      <c r="W359" s="95">
        <f t="shared" si="52"/>
        <v>514186.96238911385</v>
      </c>
      <c r="X359" s="95">
        <f t="shared" si="53"/>
        <v>-78687776.837763518</v>
      </c>
      <c r="Y359" s="95">
        <f t="shared" si="54"/>
        <v>-79434428.858659729</v>
      </c>
      <c r="Z359" s="1"/>
      <c r="AA359" s="1"/>
      <c r="AB359" s="1"/>
      <c r="AC359" s="1"/>
      <c r="AD359" s="1"/>
      <c r="AE359" s="1"/>
      <c r="AF359" s="1"/>
      <c r="AG359" s="1"/>
      <c r="AH359" s="1"/>
    </row>
    <row r="360" spans="8:34" x14ac:dyDescent="0.35"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>
        <f t="shared" si="50"/>
        <v>305</v>
      </c>
      <c r="V360" s="95">
        <f t="shared" si="51"/>
        <v>-79434428.858659729</v>
      </c>
      <c r="W360" s="95">
        <f t="shared" si="52"/>
        <v>516281.82372182526</v>
      </c>
      <c r="X360" s="95">
        <f t="shared" si="53"/>
        <v>-79950710.682381555</v>
      </c>
      <c r="Y360" s="95">
        <f t="shared" si="54"/>
        <v>-80709346.421019435</v>
      </c>
      <c r="Z360" s="1"/>
      <c r="AA360" s="1"/>
      <c r="AB360" s="1"/>
      <c r="AC360" s="1"/>
      <c r="AD360" s="1"/>
      <c r="AE360" s="1"/>
      <c r="AF360" s="1"/>
      <c r="AG360" s="1"/>
      <c r="AH360" s="1"/>
    </row>
    <row r="361" spans="8:34" x14ac:dyDescent="0.35"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>
        <f t="shared" si="50"/>
        <v>306</v>
      </c>
      <c r="V361" s="95">
        <f t="shared" si="51"/>
        <v>-80709346.421019435</v>
      </c>
      <c r="W361" s="95">
        <f t="shared" si="52"/>
        <v>518385.21977891569</v>
      </c>
      <c r="X361" s="95">
        <f t="shared" si="53"/>
        <v>-81227731.640798345</v>
      </c>
      <c r="Y361" s="95">
        <f t="shared" si="54"/>
        <v>-81998484.766883761</v>
      </c>
      <c r="Z361" s="1"/>
      <c r="AA361" s="1"/>
      <c r="AB361" s="1"/>
      <c r="AC361" s="1"/>
      <c r="AD361" s="1"/>
      <c r="AE361" s="1"/>
      <c r="AF361" s="1"/>
      <c r="AG361" s="1"/>
      <c r="AH361" s="1"/>
    </row>
    <row r="362" spans="8:34" x14ac:dyDescent="0.35"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>
        <f t="shared" si="50"/>
        <v>307</v>
      </c>
      <c r="V362" s="95">
        <f t="shared" si="51"/>
        <v>-81998484.766883761</v>
      </c>
      <c r="W362" s="95">
        <f t="shared" si="52"/>
        <v>520497.18533190875</v>
      </c>
      <c r="X362" s="95">
        <f t="shared" si="53"/>
        <v>-82518981.952215672</v>
      </c>
      <c r="Y362" s="95">
        <f t="shared" si="54"/>
        <v>-83301987.485132843</v>
      </c>
      <c r="Z362" s="1"/>
      <c r="AA362" s="1"/>
      <c r="AB362" s="1"/>
      <c r="AC362" s="1"/>
      <c r="AD362" s="1"/>
      <c r="AE362" s="1"/>
      <c r="AF362" s="1"/>
      <c r="AG362" s="1"/>
      <c r="AH362" s="1"/>
    </row>
    <row r="363" spans="8:34" x14ac:dyDescent="0.35"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>
        <f t="shared" si="50"/>
        <v>308</v>
      </c>
      <c r="V363" s="95">
        <f t="shared" si="51"/>
        <v>-83301987.485132843</v>
      </c>
      <c r="W363" s="95">
        <f t="shared" si="52"/>
        <v>522617.75529399153</v>
      </c>
      <c r="X363" s="95">
        <f t="shared" si="53"/>
        <v>-83824605.240426838</v>
      </c>
      <c r="Y363" s="95">
        <f t="shared" si="54"/>
        <v>-84619999.56237641</v>
      </c>
      <c r="Z363" s="1"/>
      <c r="AA363" s="1"/>
      <c r="AB363" s="1"/>
      <c r="AC363" s="1"/>
      <c r="AD363" s="1"/>
      <c r="AE363" s="1"/>
      <c r="AF363" s="1"/>
      <c r="AG363" s="1"/>
      <c r="AH363" s="1"/>
    </row>
    <row r="364" spans="8:34" x14ac:dyDescent="0.35"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>
        <f t="shared" si="50"/>
        <v>309</v>
      </c>
      <c r="V364" s="95">
        <f t="shared" si="51"/>
        <v>-84619999.56237641</v>
      </c>
      <c r="W364" s="95">
        <f t="shared" si="52"/>
        <v>524746.96472059167</v>
      </c>
      <c r="X364" s="95">
        <f t="shared" si="53"/>
        <v>-85144746.527097002</v>
      </c>
      <c r="Y364" s="95">
        <f t="shared" si="54"/>
        <v>-85952667.396360189</v>
      </c>
      <c r="Z364" s="1"/>
      <c r="AA364" s="1"/>
      <c r="AB364" s="1"/>
      <c r="AC364" s="1"/>
      <c r="AD364" s="1"/>
      <c r="AE364" s="1"/>
      <c r="AF364" s="1"/>
      <c r="AG364" s="1"/>
      <c r="AH364" s="1"/>
    </row>
    <row r="365" spans="8:34" x14ac:dyDescent="0.35"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>
        <f t="shared" si="50"/>
        <v>310</v>
      </c>
      <c r="V365" s="95">
        <f t="shared" si="51"/>
        <v>-85952667.396360189</v>
      </c>
      <c r="W365" s="95">
        <f t="shared" si="52"/>
        <v>526884.84880995716</v>
      </c>
      <c r="X365" s="95">
        <f t="shared" si="53"/>
        <v>-86479552.245170146</v>
      </c>
      <c r="Y365" s="95">
        <f t="shared" si="54"/>
        <v>-87300138.809500024</v>
      </c>
      <c r="Z365" s="1"/>
      <c r="AA365" s="1"/>
      <c r="AB365" s="1"/>
      <c r="AC365" s="1"/>
      <c r="AD365" s="1"/>
      <c r="AE365" s="1"/>
      <c r="AF365" s="1"/>
      <c r="AG365" s="1"/>
      <c r="AH365" s="1"/>
    </row>
    <row r="366" spans="8:34" x14ac:dyDescent="0.35"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>
        <f t="shared" si="50"/>
        <v>311</v>
      </c>
      <c r="V366" s="95">
        <f t="shared" si="51"/>
        <v>-87300138.809500024</v>
      </c>
      <c r="W366" s="95">
        <f t="shared" si="52"/>
        <v>529031.44290373777</v>
      </c>
      <c r="X366" s="95">
        <f t="shared" si="53"/>
        <v>-87829170.252403766</v>
      </c>
      <c r="Y366" s="95">
        <f t="shared" si="54"/>
        <v>-88662563.062545061</v>
      </c>
      <c r="Z366" s="1"/>
      <c r="AA366" s="1"/>
      <c r="AB366" s="1"/>
      <c r="AC366" s="1"/>
      <c r="AD366" s="1"/>
      <c r="AE366" s="1"/>
      <c r="AF366" s="1"/>
      <c r="AG366" s="1"/>
      <c r="AH366" s="1"/>
    </row>
    <row r="367" spans="8:34" x14ac:dyDescent="0.35"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>
        <f t="shared" si="50"/>
        <v>312</v>
      </c>
      <c r="V367" s="95">
        <f t="shared" si="51"/>
        <v>-88662563.062545061</v>
      </c>
      <c r="W367" s="95">
        <f t="shared" si="52"/>
        <v>531186.78248756973</v>
      </c>
      <c r="X367" s="95">
        <f t="shared" si="53"/>
        <v>-89193749.845032632</v>
      </c>
      <c r="Y367" s="95">
        <f t="shared" si="54"/>
        <v>-90040090.868371144</v>
      </c>
      <c r="Z367" s="1"/>
      <c r="AA367" s="1"/>
      <c r="AB367" s="1"/>
      <c r="AC367" s="1"/>
      <c r="AD367" s="1"/>
      <c r="AE367" s="1"/>
      <c r="AF367" s="1"/>
      <c r="AG367" s="1"/>
      <c r="AH367" s="1"/>
    </row>
    <row r="368" spans="8:34" x14ac:dyDescent="0.35"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>
        <f t="shared" si="50"/>
        <v>313</v>
      </c>
      <c r="V368" s="95">
        <f t="shared" si="51"/>
        <v>-90040090.868371144</v>
      </c>
      <c r="W368" s="95">
        <f t="shared" si="52"/>
        <v>533350.90319166193</v>
      </c>
      <c r="X368" s="95">
        <f t="shared" si="53"/>
        <v>-90573441.7715628</v>
      </c>
      <c r="Y368" s="95">
        <f t="shared" si="54"/>
        <v>-91432874.405905679</v>
      </c>
      <c r="Z368" s="1"/>
      <c r="AA368" s="1"/>
      <c r="AB368" s="1"/>
      <c r="AC368" s="1"/>
      <c r="AD368" s="1"/>
      <c r="AE368" s="1"/>
      <c r="AF368" s="1"/>
      <c r="AG368" s="1"/>
      <c r="AH368" s="1"/>
    </row>
    <row r="369" spans="8:34" x14ac:dyDescent="0.35"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>
        <f t="shared" si="50"/>
        <v>314</v>
      </c>
      <c r="V369" s="95">
        <f t="shared" si="51"/>
        <v>-91432874.405905679</v>
      </c>
      <c r="W369" s="95">
        <f t="shared" si="52"/>
        <v>535523.84079138539</v>
      </c>
      <c r="X369" s="95">
        <f t="shared" si="53"/>
        <v>-91968398.246697068</v>
      </c>
      <c r="Y369" s="95">
        <f t="shared" si="54"/>
        <v>-92841067.334185243</v>
      </c>
      <c r="Z369" s="1"/>
      <c r="AA369" s="1"/>
      <c r="AB369" s="1"/>
      <c r="AC369" s="1"/>
      <c r="AD369" s="1"/>
      <c r="AE369" s="1"/>
      <c r="AF369" s="1"/>
      <c r="AG369" s="1"/>
      <c r="AH369" s="1"/>
    </row>
    <row r="370" spans="8:34" x14ac:dyDescent="0.35"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>
        <f t="shared" si="50"/>
        <v>315</v>
      </c>
      <c r="V370" s="95">
        <f t="shared" si="51"/>
        <v>-92841067.334185243</v>
      </c>
      <c r="W370" s="95">
        <f t="shared" si="52"/>
        <v>537705.63120786427</v>
      </c>
      <c r="X370" s="95">
        <f t="shared" si="53"/>
        <v>-93378772.965393111</v>
      </c>
      <c r="Y370" s="95">
        <f t="shared" si="54"/>
        <v>-94264824.806547165</v>
      </c>
      <c r="Z370" s="1"/>
      <c r="AA370" s="1"/>
      <c r="AB370" s="1"/>
      <c r="AC370" s="1"/>
      <c r="AD370" s="1"/>
      <c r="AE370" s="1"/>
      <c r="AF370" s="1"/>
      <c r="AG370" s="1"/>
      <c r="AH370" s="1"/>
    </row>
    <row r="371" spans="8:34" x14ac:dyDescent="0.35"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>
        <f t="shared" si="50"/>
        <v>316</v>
      </c>
      <c r="V371" s="95">
        <f t="shared" si="51"/>
        <v>-94264824.806547165</v>
      </c>
      <c r="W371" s="95">
        <f t="shared" si="52"/>
        <v>539896.31050856982</v>
      </c>
      <c r="X371" s="95">
        <f t="shared" si="53"/>
        <v>-94804721.117055729</v>
      </c>
      <c r="Y371" s="95">
        <f t="shared" si="54"/>
        <v>-95704303.484956369</v>
      </c>
      <c r="Z371" s="1"/>
      <c r="AA371" s="1"/>
      <c r="AB371" s="1"/>
      <c r="AC371" s="1"/>
      <c r="AD371" s="1"/>
      <c r="AE371" s="1"/>
      <c r="AF371" s="1"/>
      <c r="AG371" s="1"/>
      <c r="AH371" s="1"/>
    </row>
    <row r="372" spans="8:34" x14ac:dyDescent="0.35"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>
        <f t="shared" si="50"/>
        <v>317</v>
      </c>
      <c r="V372" s="95">
        <f t="shared" si="51"/>
        <v>-95704303.484956369</v>
      </c>
      <c r="W372" s="95">
        <f t="shared" si="52"/>
        <v>542095.9149079168</v>
      </c>
      <c r="X372" s="95">
        <f t="shared" si="53"/>
        <v>-96246399.399864286</v>
      </c>
      <c r="Y372" s="95">
        <f t="shared" si="54"/>
        <v>-97159661.554468781</v>
      </c>
      <c r="Z372" s="1"/>
      <c r="AA372" s="1"/>
      <c r="AB372" s="1"/>
      <c r="AC372" s="1"/>
      <c r="AD372" s="1"/>
      <c r="AE372" s="1"/>
      <c r="AF372" s="1"/>
      <c r="AG372" s="1"/>
      <c r="AH372" s="1"/>
    </row>
    <row r="373" spans="8:34" x14ac:dyDescent="0.35"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>
        <f t="shared" si="50"/>
        <v>318</v>
      </c>
      <c r="V373" s="95">
        <f t="shared" si="51"/>
        <v>-97159661.554468781</v>
      </c>
      <c r="W373" s="95">
        <f t="shared" si="52"/>
        <v>544304.48076786171</v>
      </c>
      <c r="X373" s="95">
        <f t="shared" si="53"/>
        <v>-97703966.035236642</v>
      </c>
      <c r="Y373" s="95">
        <f t="shared" si="54"/>
        <v>-98631058.737832531</v>
      </c>
      <c r="Z373" s="1"/>
      <c r="AA373" s="1"/>
      <c r="AB373" s="1"/>
      <c r="AC373" s="1"/>
      <c r="AD373" s="1"/>
      <c r="AE373" s="1"/>
      <c r="AF373" s="1"/>
      <c r="AG373" s="1"/>
      <c r="AH373" s="1"/>
    </row>
    <row r="374" spans="8:34" x14ac:dyDescent="0.35"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>
        <f t="shared" si="50"/>
        <v>319</v>
      </c>
      <c r="V374" s="95">
        <f t="shared" si="51"/>
        <v>-98631058.737832531</v>
      </c>
      <c r="W374" s="95">
        <f t="shared" si="52"/>
        <v>546522.04459850444</v>
      </c>
      <c r="X374" s="95">
        <f t="shared" si="53"/>
        <v>-99177580.782431036</v>
      </c>
      <c r="Y374" s="95">
        <f t="shared" si="54"/>
        <v>-100118656.31022841</v>
      </c>
      <c r="Z374" s="1"/>
      <c r="AA374" s="1"/>
      <c r="AB374" s="1"/>
      <c r="AC374" s="1"/>
      <c r="AD374" s="1"/>
      <c r="AE374" s="1"/>
      <c r="AF374" s="1"/>
      <c r="AG374" s="1"/>
      <c r="AH374" s="1"/>
    </row>
    <row r="375" spans="8:34" x14ac:dyDescent="0.35"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>
        <f t="shared" si="50"/>
        <v>320</v>
      </c>
      <c r="V375" s="95">
        <f t="shared" si="51"/>
        <v>-100118656.31022841</v>
      </c>
      <c r="W375" s="95">
        <f t="shared" si="52"/>
        <v>548748.64305869129</v>
      </c>
      <c r="X375" s="95">
        <f t="shared" si="53"/>
        <v>-100667404.95328709</v>
      </c>
      <c r="Y375" s="95">
        <f t="shared" si="54"/>
        <v>-101622617.11415066</v>
      </c>
      <c r="Z375" s="1"/>
      <c r="AA375" s="1"/>
      <c r="AB375" s="1"/>
      <c r="AC375" s="1"/>
      <c r="AD375" s="1"/>
      <c r="AE375" s="1"/>
      <c r="AF375" s="1"/>
      <c r="AG375" s="1"/>
      <c r="AH375" s="1"/>
    </row>
    <row r="376" spans="8:34" x14ac:dyDescent="0.35"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>
        <f t="shared" si="50"/>
        <v>321</v>
      </c>
      <c r="V376" s="95">
        <f t="shared" si="51"/>
        <v>-101622617.11415066</v>
      </c>
      <c r="W376" s="95">
        <f t="shared" si="52"/>
        <v>550984.31295662152</v>
      </c>
      <c r="X376" s="95">
        <f t="shared" si="53"/>
        <v>-102173601.42710727</v>
      </c>
      <c r="Y376" s="95">
        <f t="shared" si="54"/>
        <v>-103143105.57442972</v>
      </c>
      <c r="Z376" s="1"/>
      <c r="AA376" s="1"/>
      <c r="AB376" s="1"/>
      <c r="AC376" s="1"/>
      <c r="AD376" s="1"/>
      <c r="AE376" s="1"/>
      <c r="AF376" s="1"/>
      <c r="AG376" s="1"/>
      <c r="AH376" s="1"/>
    </row>
    <row r="377" spans="8:34" x14ac:dyDescent="0.35"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>
        <f t="shared" si="50"/>
        <v>322</v>
      </c>
      <c r="V377" s="95">
        <f t="shared" si="51"/>
        <v>-103143105.57442972</v>
      </c>
      <c r="W377" s="95">
        <f t="shared" si="52"/>
        <v>553229.09125045524</v>
      </c>
      <c r="X377" s="95">
        <f t="shared" si="53"/>
        <v>-103696334.66568017</v>
      </c>
      <c r="Y377" s="95">
        <f t="shared" si="54"/>
        <v>-104680287.71339804</v>
      </c>
      <c r="Z377" s="1"/>
      <c r="AA377" s="1"/>
      <c r="AB377" s="1"/>
      <c r="AC377" s="1"/>
      <c r="AD377" s="1"/>
      <c r="AE377" s="1"/>
      <c r="AF377" s="1"/>
      <c r="AG377" s="1"/>
      <c r="AH377" s="1"/>
    </row>
    <row r="378" spans="8:34" x14ac:dyDescent="0.35"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>
        <f t="shared" ref="U378:U441" si="55">U377+1</f>
        <v>323</v>
      </c>
      <c r="V378" s="95">
        <f t="shared" ref="V378:V441" si="56">Y377</f>
        <v>-104680287.71339804</v>
      </c>
      <c r="W378" s="95">
        <f t="shared" ref="W378:W441" si="57">W377+W377*($F$15/12)</f>
        <v>555483.01504892483</v>
      </c>
      <c r="X378" s="95">
        <f t="shared" ref="X378:X441" si="58">V378-W378</f>
        <v>-105235770.72844696</v>
      </c>
      <c r="Y378" s="95">
        <f t="shared" ref="Y378:Y441" si="59">X378+(X378*($K$9/12))</f>
        <v>-106234331.16620044</v>
      </c>
      <c r="Z378" s="1"/>
      <c r="AA378" s="1"/>
      <c r="AB378" s="1"/>
      <c r="AC378" s="1"/>
      <c r="AD378" s="1"/>
      <c r="AE378" s="1"/>
      <c r="AF378" s="1"/>
      <c r="AG378" s="1"/>
      <c r="AH378" s="1"/>
    </row>
    <row r="379" spans="8:34" x14ac:dyDescent="0.35"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>
        <f t="shared" si="55"/>
        <v>324</v>
      </c>
      <c r="V379" s="112">
        <f t="shared" si="56"/>
        <v>-106234331.16620044</v>
      </c>
      <c r="W379" s="95">
        <f t="shared" si="57"/>
        <v>557746.12161194836</v>
      </c>
      <c r="X379" s="95">
        <f t="shared" si="58"/>
        <v>-106792077.2878124</v>
      </c>
      <c r="Y379" s="95">
        <f t="shared" si="59"/>
        <v>-107805405.19625044</v>
      </c>
      <c r="Z379" s="1"/>
      <c r="AA379" s="1"/>
      <c r="AB379" s="1"/>
      <c r="AC379" s="1"/>
      <c r="AD379" s="1"/>
      <c r="AE379" s="1"/>
      <c r="AF379" s="1"/>
      <c r="AG379" s="1"/>
      <c r="AH379" s="1"/>
    </row>
    <row r="380" spans="8:34" x14ac:dyDescent="0.35"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>
        <f t="shared" si="55"/>
        <v>325</v>
      </c>
      <c r="V380" s="95">
        <f t="shared" si="56"/>
        <v>-107805405.19625044</v>
      </c>
      <c r="W380" s="95">
        <f t="shared" si="57"/>
        <v>560018.44835124526</v>
      </c>
      <c r="X380" s="95">
        <f t="shared" si="58"/>
        <v>-108365423.64460169</v>
      </c>
      <c r="Y380" s="95">
        <f t="shared" si="59"/>
        <v>-109393680.71083368</v>
      </c>
      <c r="Z380" s="1"/>
      <c r="AA380" s="1"/>
      <c r="AB380" s="1"/>
      <c r="AC380" s="1"/>
      <c r="AD380" s="1"/>
      <c r="AE380" s="1"/>
      <c r="AF380" s="1"/>
      <c r="AG380" s="1"/>
      <c r="AH380" s="1"/>
    </row>
    <row r="381" spans="8:34" x14ac:dyDescent="0.35"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>
        <f t="shared" si="55"/>
        <v>326</v>
      </c>
      <c r="V381" s="95">
        <f t="shared" si="56"/>
        <v>-109393680.71083368</v>
      </c>
      <c r="W381" s="95">
        <f t="shared" si="57"/>
        <v>562300.03283095488</v>
      </c>
      <c r="X381" s="95">
        <f t="shared" si="58"/>
        <v>-109955980.74366464</v>
      </c>
      <c r="Y381" s="95">
        <f t="shared" si="59"/>
        <v>-110999330.27686027</v>
      </c>
      <c r="Z381" s="1"/>
      <c r="AA381" s="1"/>
      <c r="AB381" s="1"/>
      <c r="AC381" s="1"/>
      <c r="AD381" s="1"/>
      <c r="AE381" s="1"/>
      <c r="AF381" s="1"/>
      <c r="AG381" s="1"/>
      <c r="AH381" s="1"/>
    </row>
    <row r="382" spans="8:34" x14ac:dyDescent="0.35"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>
        <f t="shared" si="55"/>
        <v>327</v>
      </c>
      <c r="V382" s="95">
        <f t="shared" si="56"/>
        <v>-110999330.27686027</v>
      </c>
      <c r="W382" s="95">
        <f t="shared" si="57"/>
        <v>564590.91276825767</v>
      </c>
      <c r="X382" s="95">
        <f t="shared" si="58"/>
        <v>-111563921.18962853</v>
      </c>
      <c r="Y382" s="95">
        <f t="shared" si="59"/>
        <v>-112622528.13676706</v>
      </c>
      <c r="Z382" s="1"/>
      <c r="AA382" s="1"/>
      <c r="AB382" s="1"/>
      <c r="AC382" s="1"/>
      <c r="AD382" s="1"/>
      <c r="AE382" s="1"/>
      <c r="AF382" s="1"/>
      <c r="AG382" s="1"/>
      <c r="AH382" s="1"/>
    </row>
    <row r="383" spans="8:34" x14ac:dyDescent="0.35"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>
        <f t="shared" si="55"/>
        <v>328</v>
      </c>
      <c r="V383" s="95">
        <f t="shared" si="56"/>
        <v>-112622528.13676706</v>
      </c>
      <c r="W383" s="95">
        <f t="shared" si="57"/>
        <v>566891.12603399856</v>
      </c>
      <c r="X383" s="95">
        <f t="shared" si="58"/>
        <v>-113189419.26280105</v>
      </c>
      <c r="Y383" s="95">
        <f t="shared" si="59"/>
        <v>-114263450.22457148</v>
      </c>
      <c r="Z383" s="1"/>
      <c r="AA383" s="1"/>
      <c r="AB383" s="1"/>
      <c r="AC383" s="1"/>
      <c r="AD383" s="1"/>
      <c r="AE383" s="1"/>
      <c r="AF383" s="1"/>
      <c r="AG383" s="1"/>
      <c r="AH383" s="1"/>
    </row>
    <row r="384" spans="8:34" x14ac:dyDescent="0.35"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>
        <f t="shared" si="55"/>
        <v>329</v>
      </c>
      <c r="V384" s="95">
        <f t="shared" si="56"/>
        <v>-114263450.22457148</v>
      </c>
      <c r="W384" s="95">
        <f t="shared" si="57"/>
        <v>569200.71065331285</v>
      </c>
      <c r="X384" s="95">
        <f t="shared" si="58"/>
        <v>-114832650.9352248</v>
      </c>
      <c r="Y384" s="95">
        <f t="shared" si="59"/>
        <v>-115922274.18207841</v>
      </c>
      <c r="Z384" s="1"/>
      <c r="AA384" s="1"/>
      <c r="AB384" s="1"/>
      <c r="AC384" s="1"/>
      <c r="AD384" s="1"/>
      <c r="AE384" s="1"/>
      <c r="AF384" s="1"/>
      <c r="AG384" s="1"/>
      <c r="AH384" s="1"/>
    </row>
    <row r="385" spans="8:34" x14ac:dyDescent="0.35"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>
        <f t="shared" si="55"/>
        <v>330</v>
      </c>
      <c r="V385" s="95">
        <f t="shared" si="56"/>
        <v>-115922274.18207841</v>
      </c>
      <c r="W385" s="95">
        <f t="shared" si="57"/>
        <v>571519.70480625506</v>
      </c>
      <c r="X385" s="95">
        <f t="shared" si="58"/>
        <v>-116493793.88688466</v>
      </c>
      <c r="Y385" s="95">
        <f t="shared" si="59"/>
        <v>-117599179.37524131</v>
      </c>
      <c r="Z385" s="1"/>
      <c r="AA385" s="1"/>
      <c r="AB385" s="1"/>
      <c r="AC385" s="1"/>
      <c r="AD385" s="1"/>
      <c r="AE385" s="1"/>
      <c r="AF385" s="1"/>
      <c r="AG385" s="1"/>
      <c r="AH385" s="1"/>
    </row>
    <row r="386" spans="8:34" x14ac:dyDescent="0.35"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>
        <f t="shared" si="55"/>
        <v>331</v>
      </c>
      <c r="V386" s="95">
        <f t="shared" si="56"/>
        <v>-117599179.37524131</v>
      </c>
      <c r="W386" s="95">
        <f t="shared" si="57"/>
        <v>573848.14682842989</v>
      </c>
      <c r="X386" s="95">
        <f t="shared" si="58"/>
        <v>-118173027.52206974</v>
      </c>
      <c r="Y386" s="95">
        <f t="shared" si="59"/>
        <v>-119294346.91067944</v>
      </c>
      <c r="Z386" s="1"/>
      <c r="AA386" s="1"/>
      <c r="AB386" s="1"/>
      <c r="AC386" s="1"/>
      <c r="AD386" s="1"/>
      <c r="AE386" s="1"/>
      <c r="AF386" s="1"/>
      <c r="AG386" s="1"/>
      <c r="AH386" s="1"/>
    </row>
    <row r="387" spans="8:34" x14ac:dyDescent="0.35"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>
        <f t="shared" si="55"/>
        <v>332</v>
      </c>
      <c r="V387" s="95">
        <f t="shared" si="56"/>
        <v>-119294346.91067944</v>
      </c>
      <c r="W387" s="95">
        <f t="shared" si="57"/>
        <v>576186.07521162613</v>
      </c>
      <c r="X387" s="95">
        <f t="shared" si="58"/>
        <v>-119870532.98589107</v>
      </c>
      <c r="Y387" s="95">
        <f t="shared" si="59"/>
        <v>-121007959.6523523</v>
      </c>
      <c r="Z387" s="1"/>
      <c r="AA387" s="1"/>
      <c r="AB387" s="1"/>
      <c r="AC387" s="1"/>
      <c r="AD387" s="1"/>
      <c r="AE387" s="1"/>
      <c r="AF387" s="1"/>
      <c r="AG387" s="1"/>
      <c r="AH387" s="1"/>
    </row>
    <row r="388" spans="8:34" x14ac:dyDescent="0.35"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>
        <f t="shared" si="55"/>
        <v>333</v>
      </c>
      <c r="V388" s="95">
        <f t="shared" si="56"/>
        <v>-121007959.6523523</v>
      </c>
      <c r="W388" s="95">
        <f t="shared" si="57"/>
        <v>578533.52860445285</v>
      </c>
      <c r="X388" s="95">
        <f t="shared" si="58"/>
        <v>-121586493.18095675</v>
      </c>
      <c r="Y388" s="95">
        <f t="shared" si="59"/>
        <v>-122740202.23839295</v>
      </c>
      <c r="Z388" s="1"/>
      <c r="AA388" s="1"/>
      <c r="AB388" s="1"/>
      <c r="AC388" s="1"/>
      <c r="AD388" s="1"/>
      <c r="AE388" s="1"/>
      <c r="AF388" s="1"/>
      <c r="AG388" s="1"/>
      <c r="AH388" s="1"/>
    </row>
    <row r="389" spans="8:34" x14ac:dyDescent="0.35"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>
        <f t="shared" si="55"/>
        <v>334</v>
      </c>
      <c r="V389" s="95">
        <f t="shared" si="56"/>
        <v>-122740202.23839295</v>
      </c>
      <c r="W389" s="95">
        <f t="shared" si="57"/>
        <v>580890.54581297829</v>
      </c>
      <c r="X389" s="95">
        <f t="shared" si="58"/>
        <v>-123321092.78420593</v>
      </c>
      <c r="Y389" s="95">
        <f t="shared" si="59"/>
        <v>-124491261.09810176</v>
      </c>
      <c r="Z389" s="1"/>
      <c r="AA389" s="1"/>
      <c r="AB389" s="1"/>
      <c r="AC389" s="1"/>
      <c r="AD389" s="1"/>
      <c r="AE389" s="1"/>
      <c r="AF389" s="1"/>
      <c r="AG389" s="1"/>
      <c r="AH389" s="1"/>
    </row>
    <row r="390" spans="8:34" x14ac:dyDescent="0.35"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>
        <f t="shared" si="55"/>
        <v>335</v>
      </c>
      <c r="V390" s="95">
        <f t="shared" si="56"/>
        <v>-124491261.09810176</v>
      </c>
      <c r="W390" s="95">
        <f t="shared" si="57"/>
        <v>583257.16580137145</v>
      </c>
      <c r="X390" s="95">
        <f t="shared" si="58"/>
        <v>-125074518.26390314</v>
      </c>
      <c r="Y390" s="95">
        <f t="shared" si="59"/>
        <v>-126261324.46910204</v>
      </c>
      <c r="Z390" s="1"/>
      <c r="AA390" s="1"/>
      <c r="AB390" s="1"/>
      <c r="AC390" s="1"/>
      <c r="AD390" s="1"/>
      <c r="AE390" s="1"/>
      <c r="AF390" s="1"/>
      <c r="AG390" s="1"/>
      <c r="AH390" s="1"/>
    </row>
    <row r="391" spans="8:34" x14ac:dyDescent="0.35"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>
        <f t="shared" si="55"/>
        <v>336</v>
      </c>
      <c r="V391" s="95">
        <f t="shared" si="56"/>
        <v>-126261324.46910204</v>
      </c>
      <c r="W391" s="95">
        <f t="shared" si="57"/>
        <v>585633.42769254616</v>
      </c>
      <c r="X391" s="95">
        <f t="shared" si="58"/>
        <v>-126846957.89679459</v>
      </c>
      <c r="Y391" s="95">
        <f t="shared" si="59"/>
        <v>-128050582.41465904</v>
      </c>
      <c r="Z391" s="1"/>
      <c r="AA391" s="1"/>
      <c r="AB391" s="1"/>
      <c r="AC391" s="1"/>
      <c r="AD391" s="1"/>
      <c r="AE391" s="1"/>
      <c r="AF391" s="1"/>
      <c r="AG391" s="1"/>
      <c r="AH391" s="1"/>
    </row>
    <row r="392" spans="8:34" x14ac:dyDescent="0.35"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>
        <f t="shared" si="55"/>
        <v>337</v>
      </c>
      <c r="V392" s="95">
        <f t="shared" si="56"/>
        <v>-128050582.41465904</v>
      </c>
      <c r="W392" s="95">
        <f t="shared" si="57"/>
        <v>588019.37076880783</v>
      </c>
      <c r="X392" s="95">
        <f t="shared" si="58"/>
        <v>-128638601.78542784</v>
      </c>
      <c r="Y392" s="95">
        <f t="shared" si="59"/>
        <v>-129859226.84116405</v>
      </c>
      <c r="Z392" s="1"/>
      <c r="AA392" s="1"/>
      <c r="AB392" s="1"/>
      <c r="AC392" s="1"/>
      <c r="AD392" s="1"/>
      <c r="AE392" s="1"/>
      <c r="AF392" s="1"/>
      <c r="AG392" s="1"/>
      <c r="AH392" s="1"/>
    </row>
    <row r="393" spans="8:34" x14ac:dyDescent="0.35"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>
        <f t="shared" si="55"/>
        <v>338</v>
      </c>
      <c r="V393" s="95">
        <f t="shared" si="56"/>
        <v>-129859226.84116405</v>
      </c>
      <c r="W393" s="95">
        <f t="shared" si="57"/>
        <v>590415.034472503</v>
      </c>
      <c r="X393" s="95">
        <f t="shared" si="58"/>
        <v>-130449641.87563656</v>
      </c>
      <c r="Y393" s="95">
        <f t="shared" si="59"/>
        <v>-131687451.51578499</v>
      </c>
      <c r="Z393" s="1"/>
      <c r="AA393" s="1"/>
      <c r="AB393" s="1"/>
      <c r="AC393" s="1"/>
      <c r="AD393" s="1"/>
      <c r="AE393" s="1"/>
      <c r="AF393" s="1"/>
      <c r="AG393" s="1"/>
      <c r="AH393" s="1"/>
    </row>
    <row r="394" spans="8:34" x14ac:dyDescent="0.35"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>
        <f t="shared" si="55"/>
        <v>339</v>
      </c>
      <c r="V394" s="95">
        <f t="shared" si="56"/>
        <v>-131687451.51578499</v>
      </c>
      <c r="W394" s="95">
        <f t="shared" si="57"/>
        <v>592820.45840667095</v>
      </c>
      <c r="X394" s="95">
        <f t="shared" si="58"/>
        <v>-132280271.97419167</v>
      </c>
      <c r="Y394" s="95">
        <f t="shared" si="59"/>
        <v>-133535452.0842851</v>
      </c>
      <c r="Z394" s="1"/>
      <c r="AA394" s="1"/>
      <c r="AB394" s="1"/>
      <c r="AC394" s="1"/>
      <c r="AD394" s="1"/>
      <c r="AE394" s="1"/>
      <c r="AF394" s="1"/>
      <c r="AG394" s="1"/>
      <c r="AH394" s="1"/>
    </row>
    <row r="395" spans="8:34" x14ac:dyDescent="0.35"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>
        <f t="shared" si="55"/>
        <v>340</v>
      </c>
      <c r="V395" s="95">
        <f t="shared" si="56"/>
        <v>-133535452.0842851</v>
      </c>
      <c r="W395" s="95">
        <f t="shared" si="57"/>
        <v>595235.68233569886</v>
      </c>
      <c r="X395" s="95">
        <f t="shared" si="58"/>
        <v>-134130687.7666208</v>
      </c>
      <c r="Y395" s="95">
        <f t="shared" si="59"/>
        <v>-135403426.08901149</v>
      </c>
      <c r="Z395" s="1"/>
      <c r="AA395" s="1"/>
      <c r="AB395" s="1"/>
      <c r="AC395" s="1"/>
      <c r="AD395" s="1"/>
      <c r="AE395" s="1"/>
      <c r="AF395" s="1"/>
      <c r="AG395" s="1"/>
      <c r="AH395" s="1"/>
    </row>
    <row r="396" spans="8:34" x14ac:dyDescent="0.35"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>
        <f t="shared" si="55"/>
        <v>341</v>
      </c>
      <c r="V396" s="95">
        <f t="shared" si="56"/>
        <v>-135403426.08901149</v>
      </c>
      <c r="W396" s="95">
        <f t="shared" si="57"/>
        <v>597660.74618597887</v>
      </c>
      <c r="X396" s="95">
        <f t="shared" si="58"/>
        <v>-136001086.83519748</v>
      </c>
      <c r="Y396" s="95">
        <f t="shared" si="59"/>
        <v>-137291572.98705491</v>
      </c>
      <c r="Z396" s="1"/>
      <c r="AA396" s="1"/>
      <c r="AB396" s="1"/>
      <c r="AC396" s="1"/>
      <c r="AD396" s="1"/>
      <c r="AE396" s="1"/>
      <c r="AF396" s="1"/>
      <c r="AG396" s="1"/>
      <c r="AH396" s="1"/>
    </row>
    <row r="397" spans="8:34" x14ac:dyDescent="0.35"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>
        <f t="shared" si="55"/>
        <v>342</v>
      </c>
      <c r="V397" s="95">
        <f t="shared" si="56"/>
        <v>-137291572.98705491</v>
      </c>
      <c r="W397" s="95">
        <f t="shared" si="57"/>
        <v>600095.69004656817</v>
      </c>
      <c r="X397" s="95">
        <f t="shared" si="58"/>
        <v>-137891668.67710149</v>
      </c>
      <c r="Y397" s="95">
        <f t="shared" si="59"/>
        <v>-139200094.16858265</v>
      </c>
      <c r="Z397" s="1"/>
      <c r="AA397" s="1"/>
      <c r="AB397" s="1"/>
      <c r="AC397" s="1"/>
      <c r="AD397" s="1"/>
      <c r="AE397" s="1"/>
      <c r="AF397" s="1"/>
      <c r="AG397" s="1"/>
      <c r="AH397" s="1"/>
    </row>
    <row r="398" spans="8:34" x14ac:dyDescent="0.35"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>
        <f t="shared" si="55"/>
        <v>343</v>
      </c>
      <c r="V398" s="95">
        <f t="shared" si="56"/>
        <v>-139200094.16858265</v>
      </c>
      <c r="W398" s="95">
        <f t="shared" si="57"/>
        <v>602540.5541698517</v>
      </c>
      <c r="X398" s="95">
        <f t="shared" si="58"/>
        <v>-139802634.72275251</v>
      </c>
      <c r="Y398" s="95">
        <f t="shared" si="59"/>
        <v>-141129192.97534585</v>
      </c>
      <c r="Z398" s="1"/>
      <c r="AA398" s="1"/>
      <c r="AB398" s="1"/>
      <c r="AC398" s="1"/>
      <c r="AD398" s="1"/>
      <c r="AE398" s="1"/>
      <c r="AF398" s="1"/>
      <c r="AG398" s="1"/>
      <c r="AH398" s="1"/>
    </row>
    <row r="399" spans="8:34" x14ac:dyDescent="0.35"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>
        <f t="shared" si="55"/>
        <v>344</v>
      </c>
      <c r="V399" s="95">
        <f t="shared" si="56"/>
        <v>-141129192.97534585</v>
      </c>
      <c r="W399" s="95">
        <f t="shared" si="57"/>
        <v>604995.37897220778</v>
      </c>
      <c r="X399" s="95">
        <f t="shared" si="58"/>
        <v>-141734188.35431805</v>
      </c>
      <c r="Y399" s="95">
        <f t="shared" si="59"/>
        <v>-143079074.71936336</v>
      </c>
      <c r="Z399" s="1"/>
      <c r="AA399" s="1"/>
      <c r="AB399" s="1"/>
      <c r="AC399" s="1"/>
      <c r="AD399" s="1"/>
      <c r="AE399" s="1"/>
      <c r="AF399" s="1"/>
      <c r="AG399" s="1"/>
      <c r="AH399" s="1"/>
    </row>
    <row r="400" spans="8:34" x14ac:dyDescent="0.35"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>
        <f t="shared" si="55"/>
        <v>345</v>
      </c>
      <c r="V400" s="95">
        <f t="shared" si="56"/>
        <v>-143079074.71936336</v>
      </c>
      <c r="W400" s="95">
        <f t="shared" si="57"/>
        <v>607460.20503467578</v>
      </c>
      <c r="X400" s="95">
        <f t="shared" si="58"/>
        <v>-143686534.92439803</v>
      </c>
      <c r="Y400" s="95">
        <f t="shared" si="59"/>
        <v>-145049946.70178339</v>
      </c>
      <c r="Z400" s="1"/>
      <c r="AA400" s="1"/>
      <c r="AB400" s="1"/>
      <c r="AC400" s="1"/>
      <c r="AD400" s="1"/>
      <c r="AE400" s="1"/>
      <c r="AF400" s="1"/>
      <c r="AG400" s="1"/>
      <c r="AH400" s="1"/>
    </row>
    <row r="401" spans="8:34" x14ac:dyDescent="0.35"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>
        <f t="shared" si="55"/>
        <v>346</v>
      </c>
      <c r="V401" s="95">
        <f t="shared" si="56"/>
        <v>-145049946.70178339</v>
      </c>
      <c r="W401" s="95">
        <f t="shared" si="57"/>
        <v>609935.07310362742</v>
      </c>
      <c r="X401" s="95">
        <f t="shared" si="58"/>
        <v>-145659881.77488703</v>
      </c>
      <c r="Y401" s="95">
        <f t="shared" si="59"/>
        <v>-147042018.23192477</v>
      </c>
      <c r="Z401" s="1"/>
      <c r="AA401" s="1"/>
      <c r="AB401" s="1"/>
      <c r="AC401" s="1"/>
      <c r="AD401" s="1"/>
      <c r="AE401" s="1"/>
      <c r="AF401" s="1"/>
      <c r="AG401" s="1"/>
      <c r="AH401" s="1"/>
    </row>
    <row r="402" spans="8:34" x14ac:dyDescent="0.35"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>
        <f t="shared" si="55"/>
        <v>347</v>
      </c>
      <c r="V402" s="95">
        <f t="shared" si="56"/>
        <v>-147042018.23192477</v>
      </c>
      <c r="W402" s="95">
        <f t="shared" si="57"/>
        <v>612420.02409144025</v>
      </c>
      <c r="X402" s="95">
        <f t="shared" si="58"/>
        <v>-147654438.25601622</v>
      </c>
      <c r="Y402" s="95">
        <f t="shared" si="59"/>
        <v>-149055500.64649975</v>
      </c>
      <c r="Z402" s="1"/>
      <c r="AA402" s="1"/>
      <c r="AB402" s="1"/>
      <c r="AC402" s="1"/>
      <c r="AD402" s="1"/>
      <c r="AE402" s="1"/>
      <c r="AF402" s="1"/>
      <c r="AG402" s="1"/>
      <c r="AH402" s="1"/>
    </row>
    <row r="403" spans="8:34" x14ac:dyDescent="0.35"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>
        <f t="shared" si="55"/>
        <v>348</v>
      </c>
      <c r="V403" s="95">
        <f t="shared" si="56"/>
        <v>-149055500.64649975</v>
      </c>
      <c r="W403" s="95">
        <f t="shared" si="57"/>
        <v>614915.09907717374</v>
      </c>
      <c r="X403" s="95">
        <f t="shared" si="58"/>
        <v>-149670415.74557692</v>
      </c>
      <c r="Y403" s="95">
        <f t="shared" si="59"/>
        <v>-151090607.32901967</v>
      </c>
      <c r="Z403" s="1"/>
      <c r="AA403" s="1"/>
      <c r="AB403" s="1"/>
      <c r="AC403" s="1"/>
      <c r="AD403" s="1"/>
      <c r="AE403" s="1"/>
      <c r="AF403" s="1"/>
      <c r="AG403" s="1"/>
      <c r="AH403" s="1"/>
    </row>
    <row r="404" spans="8:34" x14ac:dyDescent="0.35"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>
        <f t="shared" si="55"/>
        <v>349</v>
      </c>
      <c r="V404" s="95">
        <f t="shared" si="56"/>
        <v>-151090607.32901967</v>
      </c>
      <c r="W404" s="95">
        <f t="shared" si="57"/>
        <v>617420.33930724859</v>
      </c>
      <c r="X404" s="95">
        <f t="shared" si="58"/>
        <v>-151708027.66832691</v>
      </c>
      <c r="Y404" s="95">
        <f t="shared" si="59"/>
        <v>-153147553.72938567</v>
      </c>
      <c r="Z404" s="1"/>
      <c r="AA404" s="1"/>
      <c r="AB404" s="1"/>
      <c r="AC404" s="1"/>
      <c r="AD404" s="1"/>
      <c r="AE404" s="1"/>
      <c r="AF404" s="1"/>
      <c r="AG404" s="1"/>
      <c r="AH404" s="1"/>
    </row>
    <row r="405" spans="8:34" x14ac:dyDescent="0.35"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>
        <f t="shared" si="55"/>
        <v>350</v>
      </c>
      <c r="V405" s="95">
        <f t="shared" si="56"/>
        <v>-153147553.72938567</v>
      </c>
      <c r="W405" s="95">
        <f t="shared" si="57"/>
        <v>619935.78619612847</v>
      </c>
      <c r="X405" s="95">
        <f t="shared" si="58"/>
        <v>-153767489.51558182</v>
      </c>
      <c r="Y405" s="95">
        <f t="shared" si="59"/>
        <v>-155226557.38366583</v>
      </c>
      <c r="Z405" s="1"/>
      <c r="AA405" s="1"/>
      <c r="AB405" s="1"/>
      <c r="AC405" s="1"/>
      <c r="AD405" s="1"/>
      <c r="AE405" s="1"/>
      <c r="AF405" s="1"/>
      <c r="AG405" s="1"/>
      <c r="AH405" s="1"/>
    </row>
    <row r="406" spans="8:34" x14ac:dyDescent="0.35"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>
        <f t="shared" si="55"/>
        <v>351</v>
      </c>
      <c r="V406" s="95">
        <f t="shared" si="56"/>
        <v>-155226557.38366583</v>
      </c>
      <c r="W406" s="95">
        <f t="shared" si="57"/>
        <v>622461.48132700485</v>
      </c>
      <c r="X406" s="95">
        <f t="shared" si="58"/>
        <v>-155849018.86499283</v>
      </c>
      <c r="Y406" s="95">
        <f t="shared" si="59"/>
        <v>-157327837.93406066</v>
      </c>
      <c r="Z406" s="1"/>
      <c r="AA406" s="1"/>
      <c r="AB406" s="1"/>
      <c r="AC406" s="1"/>
      <c r="AD406" s="1"/>
      <c r="AE406" s="1"/>
      <c r="AF406" s="1"/>
      <c r="AG406" s="1"/>
      <c r="AH406" s="1"/>
    </row>
    <row r="407" spans="8:34" x14ac:dyDescent="0.35"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>
        <f t="shared" si="55"/>
        <v>352</v>
      </c>
      <c r="V407" s="95">
        <f t="shared" si="56"/>
        <v>-157327837.93406066</v>
      </c>
      <c r="W407" s="95">
        <f t="shared" si="57"/>
        <v>624997.46645248414</v>
      </c>
      <c r="X407" s="95">
        <f t="shared" si="58"/>
        <v>-157952835.40051314</v>
      </c>
      <c r="Y407" s="95">
        <f t="shared" si="59"/>
        <v>-159451617.14905888</v>
      </c>
      <c r="Z407" s="1"/>
      <c r="AA407" s="1"/>
      <c r="AB407" s="1"/>
      <c r="AC407" s="1"/>
      <c r="AD407" s="1"/>
      <c r="AE407" s="1"/>
      <c r="AF407" s="1"/>
      <c r="AG407" s="1"/>
      <c r="AH407" s="1"/>
    </row>
    <row r="408" spans="8:34" x14ac:dyDescent="0.35"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>
        <f t="shared" si="55"/>
        <v>353</v>
      </c>
      <c r="V408" s="95">
        <f t="shared" si="56"/>
        <v>-159451617.14905888</v>
      </c>
      <c r="W408" s="95">
        <f t="shared" si="57"/>
        <v>627543.78349527821</v>
      </c>
      <c r="X408" s="95">
        <f t="shared" si="58"/>
        <v>-160079160.93255416</v>
      </c>
      <c r="Y408" s="95">
        <f t="shared" si="59"/>
        <v>-161598118.94378495</v>
      </c>
      <c r="Z408" s="1"/>
      <c r="AA408" s="1"/>
      <c r="AB408" s="1"/>
      <c r="AC408" s="1"/>
      <c r="AD408" s="1"/>
      <c r="AE408" s="1"/>
      <c r="AF408" s="1"/>
      <c r="AG408" s="1"/>
      <c r="AH408" s="1"/>
    </row>
    <row r="409" spans="8:34" x14ac:dyDescent="0.35"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>
        <f t="shared" si="55"/>
        <v>354</v>
      </c>
      <c r="V409" s="95">
        <f t="shared" si="56"/>
        <v>-161598118.94378495</v>
      </c>
      <c r="W409" s="95">
        <f t="shared" si="57"/>
        <v>630100.47454889701</v>
      </c>
      <c r="X409" s="95">
        <f t="shared" si="58"/>
        <v>-162228219.41833386</v>
      </c>
      <c r="Y409" s="95">
        <f t="shared" si="59"/>
        <v>-163767569.40054053</v>
      </c>
      <c r="Z409" s="1"/>
      <c r="AA409" s="1"/>
      <c r="AB409" s="1"/>
      <c r="AC409" s="1"/>
      <c r="AD409" s="1"/>
      <c r="AE409" s="1"/>
      <c r="AF409" s="1"/>
      <c r="AG409" s="1"/>
      <c r="AH409" s="1"/>
    </row>
    <row r="410" spans="8:34" x14ac:dyDescent="0.35"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>
        <f t="shared" si="55"/>
        <v>355</v>
      </c>
      <c r="V410" s="95">
        <f t="shared" si="56"/>
        <v>-163767569.40054053</v>
      </c>
      <c r="W410" s="95">
        <f t="shared" si="57"/>
        <v>632667.58187834476</v>
      </c>
      <c r="X410" s="95">
        <f t="shared" si="58"/>
        <v>-164400236.98241886</v>
      </c>
      <c r="Y410" s="95">
        <f t="shared" si="59"/>
        <v>-165960196.78954142</v>
      </c>
      <c r="Z410" s="1"/>
      <c r="AA410" s="1"/>
      <c r="AB410" s="1"/>
      <c r="AC410" s="1"/>
      <c r="AD410" s="1"/>
      <c r="AE410" s="1"/>
      <c r="AF410" s="1"/>
      <c r="AG410" s="1"/>
      <c r="AH410" s="1"/>
    </row>
    <row r="411" spans="8:34" x14ac:dyDescent="0.35"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>
        <f t="shared" si="55"/>
        <v>356</v>
      </c>
      <c r="V411" s="95">
        <f t="shared" si="56"/>
        <v>-165960196.78954142</v>
      </c>
      <c r="W411" s="95">
        <f t="shared" si="57"/>
        <v>635245.14792081865</v>
      </c>
      <c r="X411" s="95">
        <f t="shared" si="58"/>
        <v>-166595441.93746224</v>
      </c>
      <c r="Y411" s="95">
        <f t="shared" si="59"/>
        <v>-168176231.58985218</v>
      </c>
      <c r="Z411" s="1"/>
      <c r="AA411" s="1"/>
      <c r="AB411" s="1"/>
      <c r="AC411" s="1"/>
      <c r="AD411" s="1"/>
      <c r="AE411" s="1"/>
      <c r="AF411" s="1"/>
      <c r="AG411" s="1"/>
      <c r="AH411" s="1"/>
    </row>
    <row r="412" spans="8:34" x14ac:dyDescent="0.35"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>
        <f t="shared" si="55"/>
        <v>357</v>
      </c>
      <c r="V412" s="95">
        <f t="shared" si="56"/>
        <v>-168176231.58985218</v>
      </c>
      <c r="W412" s="95">
        <f t="shared" si="57"/>
        <v>637833.21528641006</v>
      </c>
      <c r="X412" s="95">
        <f t="shared" si="58"/>
        <v>-168814064.80513859</v>
      </c>
      <c r="Y412" s="95">
        <f t="shared" si="59"/>
        <v>-170415906.51051983</v>
      </c>
      <c r="Z412" s="1"/>
      <c r="AA412" s="1"/>
      <c r="AB412" s="1"/>
      <c r="AC412" s="1"/>
      <c r="AD412" s="1"/>
      <c r="AE412" s="1"/>
      <c r="AF412" s="1"/>
      <c r="AG412" s="1"/>
      <c r="AH412" s="1"/>
    </row>
    <row r="413" spans="8:34" x14ac:dyDescent="0.35"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>
        <f t="shared" si="55"/>
        <v>358</v>
      </c>
      <c r="V413" s="95">
        <f t="shared" si="56"/>
        <v>-170415906.51051983</v>
      </c>
      <c r="W413" s="95">
        <f t="shared" si="57"/>
        <v>640431.82675880927</v>
      </c>
      <c r="X413" s="95">
        <f t="shared" si="58"/>
        <v>-171056338.33727863</v>
      </c>
      <c r="Y413" s="95">
        <f t="shared" si="59"/>
        <v>-172679456.51190904</v>
      </c>
      <c r="Z413" s="1"/>
      <c r="AA413" s="1"/>
      <c r="AB413" s="1"/>
      <c r="AC413" s="1"/>
      <c r="AD413" s="1"/>
      <c r="AE413" s="1"/>
      <c r="AF413" s="1"/>
      <c r="AG413" s="1"/>
      <c r="AH413" s="1"/>
    </row>
    <row r="414" spans="8:34" x14ac:dyDescent="0.35"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>
        <f t="shared" si="55"/>
        <v>359</v>
      </c>
      <c r="V414" s="95">
        <f t="shared" si="56"/>
        <v>-172679456.51190904</v>
      </c>
      <c r="W414" s="95">
        <f t="shared" si="57"/>
        <v>643041.02529601275</v>
      </c>
      <c r="X414" s="95">
        <f t="shared" si="58"/>
        <v>-173322497.53720504</v>
      </c>
      <c r="Y414" s="95">
        <f t="shared" si="59"/>
        <v>-174967118.82724035</v>
      </c>
      <c r="Z414" s="1"/>
      <c r="AA414" s="1"/>
      <c r="AB414" s="1"/>
      <c r="AC414" s="1"/>
      <c r="AD414" s="1"/>
      <c r="AE414" s="1"/>
      <c r="AF414" s="1"/>
      <c r="AG414" s="1"/>
      <c r="AH414" s="1"/>
    </row>
    <row r="415" spans="8:34" x14ac:dyDescent="0.35"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>
        <f t="shared" si="55"/>
        <v>360</v>
      </c>
      <c r="V415" s="95">
        <f t="shared" si="56"/>
        <v>-174967118.82724035</v>
      </c>
      <c r="W415" s="95">
        <f t="shared" si="57"/>
        <v>645660.85403103288</v>
      </c>
      <c r="X415" s="95">
        <f t="shared" si="58"/>
        <v>-175612779.68127137</v>
      </c>
      <c r="Y415" s="95">
        <f t="shared" si="59"/>
        <v>-177279132.98433352</v>
      </c>
      <c r="Z415" s="1"/>
      <c r="AA415" s="1"/>
      <c r="AB415" s="1"/>
      <c r="AC415" s="1"/>
      <c r="AD415" s="1"/>
      <c r="AE415" s="1"/>
      <c r="AF415" s="1"/>
      <c r="AG415" s="1"/>
      <c r="AH415" s="1"/>
    </row>
    <row r="416" spans="8:34" x14ac:dyDescent="0.35"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>
        <f t="shared" si="55"/>
        <v>361</v>
      </c>
      <c r="V416" s="95">
        <f t="shared" si="56"/>
        <v>-177279132.98433352</v>
      </c>
      <c r="W416" s="95">
        <f t="shared" si="57"/>
        <v>648291.35627261142</v>
      </c>
      <c r="X416" s="95">
        <f t="shared" si="58"/>
        <v>-177927424.34060612</v>
      </c>
      <c r="Y416" s="95">
        <f t="shared" si="59"/>
        <v>-179615740.82755783</v>
      </c>
      <c r="Z416" s="1"/>
      <c r="AA416" s="1"/>
      <c r="AB416" s="1"/>
      <c r="AC416" s="1"/>
      <c r="AD416" s="1"/>
      <c r="AE416" s="1"/>
      <c r="AF416" s="1"/>
      <c r="AG416" s="1"/>
      <c r="AH416" s="1"/>
    </row>
    <row r="417" spans="8:34" x14ac:dyDescent="0.35"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>
        <f t="shared" si="55"/>
        <v>362</v>
      </c>
      <c r="V417" s="95">
        <f t="shared" si="56"/>
        <v>-179615740.82755783</v>
      </c>
      <c r="W417" s="95">
        <f t="shared" si="57"/>
        <v>650932.57550593535</v>
      </c>
      <c r="X417" s="95">
        <f t="shared" si="58"/>
        <v>-180266673.40306377</v>
      </c>
      <c r="Y417" s="95">
        <f t="shared" si="59"/>
        <v>-181977186.53999156</v>
      </c>
      <c r="Z417" s="1"/>
      <c r="AA417" s="1"/>
      <c r="AB417" s="1"/>
      <c r="AC417" s="1"/>
      <c r="AD417" s="1"/>
      <c r="AE417" s="1"/>
      <c r="AF417" s="1"/>
      <c r="AG417" s="1"/>
      <c r="AH417" s="1"/>
    </row>
    <row r="418" spans="8:34" x14ac:dyDescent="0.35"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>
        <f t="shared" si="55"/>
        <v>363</v>
      </c>
      <c r="V418" s="95">
        <f t="shared" si="56"/>
        <v>-181977186.53999156</v>
      </c>
      <c r="W418" s="95">
        <f t="shared" si="57"/>
        <v>653584.55539335555</v>
      </c>
      <c r="X418" s="95">
        <f t="shared" si="58"/>
        <v>-182630771.09538493</v>
      </c>
      <c r="Y418" s="95">
        <f t="shared" si="59"/>
        <v>-184363716.66579226</v>
      </c>
      <c r="Z418" s="1"/>
      <c r="AA418" s="1"/>
      <c r="AB418" s="1"/>
      <c r="AC418" s="1"/>
      <c r="AD418" s="1"/>
      <c r="AE418" s="1"/>
      <c r="AF418" s="1"/>
      <c r="AG418" s="1"/>
      <c r="AH418" s="1"/>
    </row>
    <row r="419" spans="8:34" x14ac:dyDescent="0.35"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>
        <f t="shared" si="55"/>
        <v>364</v>
      </c>
      <c r="V419" s="95">
        <f t="shared" si="56"/>
        <v>-184363716.66579226</v>
      </c>
      <c r="W419" s="95">
        <f t="shared" si="57"/>
        <v>656247.33977510885</v>
      </c>
      <c r="X419" s="95">
        <f t="shared" si="58"/>
        <v>-185019964.00556737</v>
      </c>
      <c r="Y419" s="95">
        <f t="shared" si="59"/>
        <v>-186775580.13278019</v>
      </c>
      <c r="Z419" s="1"/>
      <c r="AA419" s="1"/>
      <c r="AB419" s="1"/>
      <c r="AC419" s="1"/>
      <c r="AD419" s="1"/>
      <c r="AE419" s="1"/>
      <c r="AF419" s="1"/>
      <c r="AG419" s="1"/>
      <c r="AH419" s="1"/>
    </row>
    <row r="420" spans="8:34" x14ac:dyDescent="0.35"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>
        <f t="shared" si="55"/>
        <v>365</v>
      </c>
      <c r="V420" s="95">
        <f t="shared" si="56"/>
        <v>-186775580.13278019</v>
      </c>
      <c r="W420" s="95">
        <f t="shared" si="57"/>
        <v>658920.97267004254</v>
      </c>
      <c r="X420" s="95">
        <f t="shared" si="58"/>
        <v>-187434501.10545024</v>
      </c>
      <c r="Y420" s="95">
        <f t="shared" si="59"/>
        <v>-189213028.27523673</v>
      </c>
      <c r="Z420" s="1"/>
      <c r="AA420" s="1"/>
      <c r="AB420" s="1"/>
      <c r="AC420" s="1"/>
      <c r="AD420" s="1"/>
      <c r="AE420" s="1"/>
      <c r="AF420" s="1"/>
      <c r="AG420" s="1"/>
      <c r="AH420" s="1"/>
    </row>
    <row r="421" spans="8:34" x14ac:dyDescent="0.35"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>
        <f t="shared" si="55"/>
        <v>366</v>
      </c>
      <c r="V421" s="95">
        <f t="shared" si="56"/>
        <v>-189213028.27523673</v>
      </c>
      <c r="W421" s="95">
        <f t="shared" si="57"/>
        <v>661605.49827634229</v>
      </c>
      <c r="X421" s="95">
        <f t="shared" si="58"/>
        <v>-189874633.77351308</v>
      </c>
      <c r="Y421" s="95">
        <f t="shared" si="59"/>
        <v>-191676314.85691974</v>
      </c>
      <c r="Z421" s="1"/>
      <c r="AA421" s="1"/>
      <c r="AB421" s="1"/>
      <c r="AC421" s="1"/>
      <c r="AD421" s="1"/>
      <c r="AE421" s="1"/>
      <c r="AF421" s="1"/>
      <c r="AG421" s="1"/>
      <c r="AH421" s="1"/>
    </row>
    <row r="422" spans="8:34" x14ac:dyDescent="0.35"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>
        <f t="shared" si="55"/>
        <v>367</v>
      </c>
      <c r="V422" s="95">
        <f t="shared" si="56"/>
        <v>-191676314.85691974</v>
      </c>
      <c r="W422" s="95">
        <f t="shared" si="57"/>
        <v>664300.96097226243</v>
      </c>
      <c r="X422" s="95">
        <f t="shared" si="58"/>
        <v>-192340615.81789199</v>
      </c>
      <c r="Y422" s="95">
        <f t="shared" si="59"/>
        <v>-194165696.09429815</v>
      </c>
      <c r="Z422" s="1"/>
      <c r="AA422" s="1"/>
      <c r="AB422" s="1"/>
      <c r="AC422" s="1"/>
      <c r="AD422" s="1"/>
      <c r="AE422" s="1"/>
      <c r="AF422" s="1"/>
      <c r="AG422" s="1"/>
      <c r="AH422" s="1"/>
    </row>
    <row r="423" spans="8:34" x14ac:dyDescent="0.35"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>
        <f t="shared" si="55"/>
        <v>368</v>
      </c>
      <c r="V423" s="95">
        <f t="shared" si="56"/>
        <v>-194165696.09429815</v>
      </c>
      <c r="W423" s="95">
        <f t="shared" si="57"/>
        <v>667007.40531685995</v>
      </c>
      <c r="X423" s="95">
        <f t="shared" si="58"/>
        <v>-194832703.49961501</v>
      </c>
      <c r="Y423" s="95">
        <f t="shared" si="59"/>
        <v>-196681430.68000787</v>
      </c>
      <c r="Z423" s="1"/>
      <c r="AA423" s="1"/>
      <c r="AB423" s="1"/>
      <c r="AC423" s="1"/>
      <c r="AD423" s="1"/>
      <c r="AE423" s="1"/>
      <c r="AF423" s="1"/>
      <c r="AG423" s="1"/>
      <c r="AH423" s="1"/>
    </row>
    <row r="424" spans="8:34" x14ac:dyDescent="0.35"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>
        <f t="shared" si="55"/>
        <v>369</v>
      </c>
      <c r="V424" s="95">
        <f t="shared" si="56"/>
        <v>-196681430.68000787</v>
      </c>
      <c r="W424" s="95">
        <f t="shared" si="57"/>
        <v>669724.87605073093</v>
      </c>
      <c r="X424" s="95">
        <f t="shared" si="58"/>
        <v>-197351155.55605862</v>
      </c>
      <c r="Y424" s="95">
        <f t="shared" si="59"/>
        <v>-199223779.80653074</v>
      </c>
      <c r="Z424" s="1"/>
      <c r="AA424" s="1"/>
      <c r="AB424" s="1"/>
      <c r="AC424" s="1"/>
      <c r="AD424" s="1"/>
      <c r="AE424" s="1"/>
      <c r="AF424" s="1"/>
      <c r="AG424" s="1"/>
      <c r="AH424" s="1"/>
    </row>
    <row r="425" spans="8:34" x14ac:dyDescent="0.35"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>
        <f t="shared" si="55"/>
        <v>370</v>
      </c>
      <c r="V425" s="95">
        <f t="shared" si="56"/>
        <v>-199223779.80653074</v>
      </c>
      <c r="W425" s="95">
        <f t="shared" si="57"/>
        <v>672453.41809675016</v>
      </c>
      <c r="X425" s="95">
        <f t="shared" si="58"/>
        <v>-199896233.22462749</v>
      </c>
      <c r="Y425" s="95">
        <f t="shared" si="59"/>
        <v>-201793007.19009909</v>
      </c>
      <c r="Z425" s="1"/>
      <c r="AA425" s="1"/>
      <c r="AB425" s="1"/>
      <c r="AC425" s="1"/>
      <c r="AD425" s="1"/>
      <c r="AE425" s="1"/>
      <c r="AF425" s="1"/>
      <c r="AG425" s="1"/>
      <c r="AH425" s="1"/>
    </row>
    <row r="426" spans="8:34" x14ac:dyDescent="0.35"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>
        <f t="shared" si="55"/>
        <v>371</v>
      </c>
      <c r="V426" s="95">
        <f t="shared" si="56"/>
        <v>-201793007.19009909</v>
      </c>
      <c r="W426" s="95">
        <f t="shared" si="57"/>
        <v>675193.07656081382</v>
      </c>
      <c r="X426" s="95">
        <f t="shared" si="58"/>
        <v>-202468200.26665992</v>
      </c>
      <c r="Y426" s="95">
        <f t="shared" si="59"/>
        <v>-204389379.09482795</v>
      </c>
      <c r="Z426" s="1"/>
      <c r="AA426" s="1"/>
      <c r="AB426" s="1"/>
      <c r="AC426" s="1"/>
      <c r="AD426" s="1"/>
      <c r="AE426" s="1"/>
      <c r="AF426" s="1"/>
      <c r="AG426" s="1"/>
      <c r="AH426" s="1"/>
    </row>
    <row r="427" spans="8:34" x14ac:dyDescent="0.35"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>
        <f t="shared" si="55"/>
        <v>372</v>
      </c>
      <c r="V427" s="95">
        <f t="shared" si="56"/>
        <v>-204389379.09482795</v>
      </c>
      <c r="W427" s="95">
        <f t="shared" si="57"/>
        <v>677943.89673258492</v>
      </c>
      <c r="X427" s="95">
        <f t="shared" si="58"/>
        <v>-205067322.99156055</v>
      </c>
      <c r="Y427" s="95">
        <f t="shared" si="59"/>
        <v>-207013164.35707673</v>
      </c>
      <c r="Z427" s="1"/>
      <c r="AA427" s="1"/>
      <c r="AB427" s="1"/>
      <c r="AC427" s="1"/>
      <c r="AD427" s="1"/>
      <c r="AE427" s="1"/>
      <c r="AF427" s="1"/>
      <c r="AG427" s="1"/>
      <c r="AH427" s="1"/>
    </row>
    <row r="428" spans="8:34" x14ac:dyDescent="0.35"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>
        <f t="shared" si="55"/>
        <v>373</v>
      </c>
      <c r="V428" s="95">
        <f t="shared" si="56"/>
        <v>-207013164.35707673</v>
      </c>
      <c r="W428" s="95">
        <f t="shared" si="57"/>
        <v>680705.92408624233</v>
      </c>
      <c r="X428" s="95">
        <f t="shared" si="58"/>
        <v>-207693870.28116298</v>
      </c>
      <c r="Y428" s="95">
        <f t="shared" si="59"/>
        <v>-209664634.41004309</v>
      </c>
      <c r="Z428" s="1"/>
      <c r="AA428" s="1"/>
      <c r="AB428" s="1"/>
      <c r="AC428" s="1"/>
      <c r="AD428" s="1"/>
      <c r="AE428" s="1"/>
      <c r="AF428" s="1"/>
      <c r="AG428" s="1"/>
      <c r="AH428" s="1"/>
    </row>
    <row r="429" spans="8:34" x14ac:dyDescent="0.35"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>
        <f t="shared" si="55"/>
        <v>374</v>
      </c>
      <c r="V429" s="95">
        <f t="shared" si="56"/>
        <v>-209664634.41004309</v>
      </c>
      <c r="W429" s="95">
        <f t="shared" si="57"/>
        <v>683479.20428123244</v>
      </c>
      <c r="X429" s="95">
        <f t="shared" si="58"/>
        <v>-210348113.61432433</v>
      </c>
      <c r="Y429" s="95">
        <f t="shared" si="59"/>
        <v>-212344063.3085908</v>
      </c>
      <c r="Z429" s="1"/>
      <c r="AA429" s="1"/>
      <c r="AB429" s="1"/>
      <c r="AC429" s="1"/>
      <c r="AD429" s="1"/>
      <c r="AE429" s="1"/>
      <c r="AF429" s="1"/>
      <c r="AG429" s="1"/>
      <c r="AH429" s="1"/>
    </row>
    <row r="430" spans="8:34" x14ac:dyDescent="0.35"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>
        <f t="shared" si="55"/>
        <v>375</v>
      </c>
      <c r="V430" s="95">
        <f t="shared" si="56"/>
        <v>-212344063.3085908</v>
      </c>
      <c r="W430" s="95">
        <f t="shared" si="57"/>
        <v>686263.78316302365</v>
      </c>
      <c r="X430" s="95">
        <f t="shared" si="58"/>
        <v>-213030327.09175381</v>
      </c>
      <c r="Y430" s="95">
        <f t="shared" si="59"/>
        <v>-215051727.75431395</v>
      </c>
      <c r="Z430" s="1"/>
      <c r="AA430" s="1"/>
      <c r="AB430" s="1"/>
      <c r="AC430" s="1"/>
      <c r="AD430" s="1"/>
      <c r="AE430" s="1"/>
      <c r="AF430" s="1"/>
      <c r="AG430" s="1"/>
      <c r="AH430" s="1"/>
    </row>
    <row r="431" spans="8:34" x14ac:dyDescent="0.35"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>
        <f t="shared" si="55"/>
        <v>376</v>
      </c>
      <c r="V431" s="95">
        <f t="shared" si="56"/>
        <v>-215051727.75431395</v>
      </c>
      <c r="W431" s="95">
        <f t="shared" si="57"/>
        <v>689059.70676386461</v>
      </c>
      <c r="X431" s="95">
        <f t="shared" si="58"/>
        <v>-215740787.46107781</v>
      </c>
      <c r="Y431" s="95">
        <f t="shared" si="59"/>
        <v>-217787907.12083986</v>
      </c>
      <c r="Z431" s="1"/>
      <c r="AA431" s="1"/>
      <c r="AB431" s="1"/>
      <c r="AC431" s="1"/>
      <c r="AD431" s="1"/>
      <c r="AE431" s="1"/>
      <c r="AF431" s="1"/>
      <c r="AG431" s="1"/>
      <c r="AH431" s="1"/>
    </row>
    <row r="432" spans="8:34" x14ac:dyDescent="0.35"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>
        <f t="shared" si="55"/>
        <v>377</v>
      </c>
      <c r="V432" s="95">
        <f t="shared" si="56"/>
        <v>-217787907.12083986</v>
      </c>
      <c r="W432" s="95">
        <f t="shared" si="57"/>
        <v>691867.02130354499</v>
      </c>
      <c r="X432" s="95">
        <f t="shared" si="58"/>
        <v>-218479774.1421434</v>
      </c>
      <c r="Y432" s="95">
        <f t="shared" si="59"/>
        <v>-220552883.47937268</v>
      </c>
      <c r="Z432" s="1"/>
      <c r="AA432" s="1"/>
      <c r="AB432" s="1"/>
      <c r="AC432" s="1"/>
      <c r="AD432" s="1"/>
      <c r="AE432" s="1"/>
      <c r="AF432" s="1"/>
      <c r="AG432" s="1"/>
      <c r="AH432" s="1"/>
    </row>
    <row r="433" spans="8:34" x14ac:dyDescent="0.35"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>
        <f t="shared" si="55"/>
        <v>378</v>
      </c>
      <c r="V433" s="95">
        <f t="shared" si="56"/>
        <v>-220552883.47937268</v>
      </c>
      <c r="W433" s="95">
        <f t="shared" si="57"/>
        <v>694685.7731901597</v>
      </c>
      <c r="X433" s="95">
        <f t="shared" si="58"/>
        <v>-221247569.25256285</v>
      </c>
      <c r="Y433" s="95">
        <f t="shared" si="59"/>
        <v>-223346941.62448025</v>
      </c>
      <c r="Z433" s="1"/>
      <c r="AA433" s="1"/>
      <c r="AB433" s="1"/>
      <c r="AC433" s="1"/>
      <c r="AD433" s="1"/>
      <c r="AE433" s="1"/>
      <c r="AF433" s="1"/>
      <c r="AG433" s="1"/>
      <c r="AH433" s="1"/>
    </row>
    <row r="434" spans="8:34" x14ac:dyDescent="0.35"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>
        <f t="shared" si="55"/>
        <v>379</v>
      </c>
      <c r="V434" s="95">
        <f t="shared" si="56"/>
        <v>-223346941.62448025</v>
      </c>
      <c r="W434" s="95">
        <f t="shared" si="57"/>
        <v>697516.00902087591</v>
      </c>
      <c r="X434" s="95">
        <f t="shared" si="58"/>
        <v>-224044457.63350111</v>
      </c>
      <c r="Y434" s="95">
        <f t="shared" si="59"/>
        <v>-226170369.10012636</v>
      </c>
      <c r="Z434" s="1"/>
      <c r="AA434" s="1"/>
      <c r="AB434" s="1"/>
      <c r="AC434" s="1"/>
      <c r="AD434" s="1"/>
      <c r="AE434" s="1"/>
      <c r="AF434" s="1"/>
      <c r="AG434" s="1"/>
      <c r="AH434" s="1"/>
    </row>
    <row r="435" spans="8:34" x14ac:dyDescent="0.35"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>
        <f t="shared" si="55"/>
        <v>380</v>
      </c>
      <c r="V435" s="95">
        <f t="shared" si="56"/>
        <v>-226170369.10012636</v>
      </c>
      <c r="W435" s="95">
        <f t="shared" si="57"/>
        <v>700357.7755827033</v>
      </c>
      <c r="X435" s="95">
        <f t="shared" si="58"/>
        <v>-226870726.87570906</v>
      </c>
      <c r="Y435" s="95">
        <f t="shared" si="59"/>
        <v>-229023456.22595102</v>
      </c>
      <c r="Z435" s="1"/>
      <c r="AA435" s="1"/>
      <c r="AB435" s="1"/>
      <c r="AC435" s="1"/>
      <c r="AD435" s="1"/>
      <c r="AE435" s="1"/>
      <c r="AF435" s="1"/>
      <c r="AG435" s="1"/>
      <c r="AH435" s="1"/>
    </row>
    <row r="436" spans="8:34" x14ac:dyDescent="0.35"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>
        <f t="shared" si="55"/>
        <v>381</v>
      </c>
      <c r="V436" s="95">
        <f t="shared" si="56"/>
        <v>-229023456.22595102</v>
      </c>
      <c r="W436" s="95">
        <f t="shared" si="57"/>
        <v>703211.1198532678</v>
      </c>
      <c r="X436" s="95">
        <f t="shared" si="58"/>
        <v>-229726667.34580427</v>
      </c>
      <c r="Y436" s="95">
        <f t="shared" si="59"/>
        <v>-231906496.12380046</v>
      </c>
      <c r="Z436" s="1"/>
      <c r="AA436" s="1"/>
      <c r="AB436" s="1"/>
      <c r="AC436" s="1"/>
      <c r="AD436" s="1"/>
      <c r="AE436" s="1"/>
      <c r="AF436" s="1"/>
      <c r="AG436" s="1"/>
      <c r="AH436" s="1"/>
    </row>
    <row r="437" spans="8:34" x14ac:dyDescent="0.35"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>
        <f t="shared" si="55"/>
        <v>382</v>
      </c>
      <c r="V437" s="95">
        <f t="shared" si="56"/>
        <v>-231906496.12380046</v>
      </c>
      <c r="W437" s="95">
        <f t="shared" si="57"/>
        <v>706076.08900158794</v>
      </c>
      <c r="X437" s="95">
        <f t="shared" si="58"/>
        <v>-232612572.21280205</v>
      </c>
      <c r="Y437" s="95">
        <f t="shared" si="59"/>
        <v>-234819784.74451008</v>
      </c>
      <c r="Z437" s="1"/>
      <c r="AA437" s="1"/>
      <c r="AB437" s="1"/>
      <c r="AC437" s="1"/>
      <c r="AD437" s="1"/>
      <c r="AE437" s="1"/>
      <c r="AF437" s="1"/>
      <c r="AG437" s="1"/>
      <c r="AH437" s="1"/>
    </row>
    <row r="438" spans="8:34" x14ac:dyDescent="0.35"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>
        <f t="shared" si="55"/>
        <v>383</v>
      </c>
      <c r="V438" s="95">
        <f t="shared" si="56"/>
        <v>-234819784.74451008</v>
      </c>
      <c r="W438" s="95">
        <f t="shared" si="57"/>
        <v>708952.73038885475</v>
      </c>
      <c r="X438" s="95">
        <f t="shared" si="58"/>
        <v>-235528737.47489893</v>
      </c>
      <c r="Y438" s="95">
        <f t="shared" si="59"/>
        <v>-237763620.89494202</v>
      </c>
      <c r="Z438" s="1"/>
      <c r="AA438" s="1"/>
      <c r="AB438" s="1"/>
      <c r="AC438" s="1"/>
      <c r="AD438" s="1"/>
      <c r="AE438" s="1"/>
      <c r="AF438" s="1"/>
      <c r="AG438" s="1"/>
      <c r="AH438" s="1"/>
    </row>
    <row r="439" spans="8:34" x14ac:dyDescent="0.35"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>
        <f t="shared" si="55"/>
        <v>384</v>
      </c>
      <c r="V439" s="95">
        <f t="shared" si="56"/>
        <v>-237763620.89494202</v>
      </c>
      <c r="W439" s="95">
        <f t="shared" si="57"/>
        <v>711841.09156921436</v>
      </c>
      <c r="X439" s="95">
        <f t="shared" si="58"/>
        <v>-238475461.98651123</v>
      </c>
      <c r="Y439" s="95">
        <f t="shared" si="59"/>
        <v>-240738306.26528028</v>
      </c>
      <c r="Z439" s="1"/>
      <c r="AA439" s="1"/>
      <c r="AB439" s="1"/>
      <c r="AC439" s="1"/>
      <c r="AD439" s="1"/>
      <c r="AE439" s="1"/>
      <c r="AF439" s="1"/>
      <c r="AG439" s="1"/>
      <c r="AH439" s="1"/>
    </row>
    <row r="440" spans="8:34" x14ac:dyDescent="0.35"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>
        <f t="shared" si="55"/>
        <v>385</v>
      </c>
      <c r="V440" s="95">
        <f t="shared" si="56"/>
        <v>-240738306.26528028</v>
      </c>
      <c r="W440" s="95">
        <f t="shared" si="57"/>
        <v>714741.22029055469</v>
      </c>
      <c r="X440" s="95">
        <f t="shared" si="58"/>
        <v>-241453047.48557082</v>
      </c>
      <c r="Y440" s="95">
        <f t="shared" si="59"/>
        <v>-243744145.45658544</v>
      </c>
      <c r="Z440" s="1"/>
      <c r="AA440" s="1"/>
      <c r="AB440" s="1"/>
      <c r="AC440" s="1"/>
      <c r="AD440" s="1"/>
      <c r="AE440" s="1"/>
      <c r="AF440" s="1"/>
      <c r="AG440" s="1"/>
      <c r="AH440" s="1"/>
    </row>
    <row r="441" spans="8:34" x14ac:dyDescent="0.35"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>
        <f t="shared" si="55"/>
        <v>386</v>
      </c>
      <c r="V441" s="95">
        <f t="shared" si="56"/>
        <v>-243744145.45658544</v>
      </c>
      <c r="W441" s="95">
        <f t="shared" si="57"/>
        <v>717653.16449529433</v>
      </c>
      <c r="X441" s="95">
        <f t="shared" si="58"/>
        <v>-244461798.62108073</v>
      </c>
      <c r="Y441" s="95">
        <f t="shared" si="59"/>
        <v>-246781446.00861189</v>
      </c>
      <c r="Z441" s="1"/>
      <c r="AA441" s="1"/>
      <c r="AB441" s="1"/>
      <c r="AC441" s="1"/>
      <c r="AD441" s="1"/>
      <c r="AE441" s="1"/>
      <c r="AF441" s="1"/>
      <c r="AG441" s="1"/>
      <c r="AH441" s="1"/>
    </row>
    <row r="442" spans="8:34" x14ac:dyDescent="0.35"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>
        <f t="shared" ref="U442:U505" si="60">U441+1</f>
        <v>387</v>
      </c>
      <c r="V442" s="95">
        <f t="shared" ref="V442:V505" si="61">Y441</f>
        <v>-246781446.00861189</v>
      </c>
      <c r="W442" s="95">
        <f t="shared" ref="W442:W505" si="62">W441+W441*($F$15/12)</f>
        <v>720576.97232117516</v>
      </c>
      <c r="X442" s="95">
        <f t="shared" ref="X442:X505" si="63">V442-W442</f>
        <v>-247502022.98093307</v>
      </c>
      <c r="Y442" s="95">
        <f t="shared" ref="Y442:Y505" si="64">X442+(X442*($K$9/12))</f>
        <v>-249850518.42788956</v>
      </c>
      <c r="Z442" s="1"/>
      <c r="AA442" s="1"/>
      <c r="AB442" s="1"/>
      <c r="AC442" s="1"/>
      <c r="AD442" s="1"/>
      <c r="AE442" s="1"/>
      <c r="AF442" s="1"/>
      <c r="AG442" s="1"/>
      <c r="AH442" s="1"/>
    </row>
    <row r="443" spans="8:34" x14ac:dyDescent="0.35"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>
        <f t="shared" si="60"/>
        <v>388</v>
      </c>
      <c r="V443" s="95">
        <f t="shared" si="61"/>
        <v>-249850518.42788956</v>
      </c>
      <c r="W443" s="95">
        <f t="shared" si="62"/>
        <v>723512.69210205821</v>
      </c>
      <c r="X443" s="95">
        <f t="shared" si="63"/>
        <v>-250574031.1199916</v>
      </c>
      <c r="Y443" s="95">
        <f t="shared" si="64"/>
        <v>-252951676.21607298</v>
      </c>
      <c r="Z443" s="1"/>
      <c r="AA443" s="1"/>
      <c r="AB443" s="1"/>
      <c r="AC443" s="1"/>
      <c r="AD443" s="1"/>
      <c r="AE443" s="1"/>
      <c r="AF443" s="1"/>
      <c r="AG443" s="1"/>
      <c r="AH443" s="1"/>
    </row>
    <row r="444" spans="8:34" x14ac:dyDescent="0.35"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>
        <f t="shared" si="60"/>
        <v>389</v>
      </c>
      <c r="V444" s="95">
        <f t="shared" si="61"/>
        <v>-252951676.21607298</v>
      </c>
      <c r="W444" s="95">
        <f t="shared" si="62"/>
        <v>726460.37236872269</v>
      </c>
      <c r="X444" s="95">
        <f t="shared" si="63"/>
        <v>-253678136.5884417</v>
      </c>
      <c r="Y444" s="95">
        <f t="shared" si="64"/>
        <v>-256085235.89856029</v>
      </c>
      <c r="Z444" s="1"/>
      <c r="AA444" s="1"/>
      <c r="AB444" s="1"/>
      <c r="AC444" s="1"/>
      <c r="AD444" s="1"/>
      <c r="AE444" s="1"/>
      <c r="AF444" s="1"/>
      <c r="AG444" s="1"/>
      <c r="AH444" s="1"/>
    </row>
    <row r="445" spans="8:34" x14ac:dyDescent="0.35"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>
        <f t="shared" si="60"/>
        <v>390</v>
      </c>
      <c r="V445" s="95">
        <f t="shared" si="61"/>
        <v>-256085235.89856029</v>
      </c>
      <c r="W445" s="95">
        <f t="shared" si="62"/>
        <v>729420.06184966816</v>
      </c>
      <c r="X445" s="95">
        <f t="shared" si="63"/>
        <v>-256814655.96040994</v>
      </c>
      <c r="Y445" s="95">
        <f t="shared" si="64"/>
        <v>-259251517.05338445</v>
      </c>
      <c r="Z445" s="1"/>
      <c r="AA445" s="1"/>
      <c r="AB445" s="1"/>
      <c r="AC445" s="1"/>
      <c r="AD445" s="1"/>
      <c r="AE445" s="1"/>
      <c r="AF445" s="1"/>
      <c r="AG445" s="1"/>
      <c r="AH445" s="1"/>
    </row>
    <row r="446" spans="8:34" x14ac:dyDescent="0.35"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>
        <f t="shared" si="60"/>
        <v>391</v>
      </c>
      <c r="V446" s="95">
        <f t="shared" si="61"/>
        <v>-259251517.05338445</v>
      </c>
      <c r="W446" s="95">
        <f t="shared" si="62"/>
        <v>732391.80947192013</v>
      </c>
      <c r="X446" s="95">
        <f t="shared" si="63"/>
        <v>-259983908.86285639</v>
      </c>
      <c r="Y446" s="95">
        <f t="shared" si="64"/>
        <v>-262450842.34037954</v>
      </c>
      <c r="Z446" s="1"/>
      <c r="AA446" s="1"/>
      <c r="AB446" s="1"/>
      <c r="AC446" s="1"/>
      <c r="AD446" s="1"/>
      <c r="AE446" s="1"/>
      <c r="AF446" s="1"/>
      <c r="AG446" s="1"/>
      <c r="AH446" s="1"/>
    </row>
    <row r="447" spans="8:34" x14ac:dyDescent="0.35"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>
        <f t="shared" si="60"/>
        <v>392</v>
      </c>
      <c r="V447" s="95">
        <f t="shared" si="61"/>
        <v>-262450842.34037954</v>
      </c>
      <c r="W447" s="95">
        <f t="shared" si="62"/>
        <v>735375.66436183895</v>
      </c>
      <c r="X447" s="95">
        <f t="shared" si="63"/>
        <v>-263186218.00474137</v>
      </c>
      <c r="Y447" s="95">
        <f t="shared" si="64"/>
        <v>-265683537.53062439</v>
      </c>
      <c r="Z447" s="1"/>
      <c r="AA447" s="1"/>
      <c r="AB447" s="1"/>
      <c r="AC447" s="1"/>
      <c r="AD447" s="1"/>
      <c r="AE447" s="1"/>
      <c r="AF447" s="1"/>
      <c r="AG447" s="1"/>
      <c r="AH447" s="1"/>
    </row>
    <row r="448" spans="8:34" x14ac:dyDescent="0.35"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>
        <f t="shared" si="60"/>
        <v>393</v>
      </c>
      <c r="V448" s="95">
        <f t="shared" si="61"/>
        <v>-265683537.53062439</v>
      </c>
      <c r="W448" s="95">
        <f t="shared" si="62"/>
        <v>738371.67584593175</v>
      </c>
      <c r="X448" s="95">
        <f t="shared" si="63"/>
        <v>-266421909.20647031</v>
      </c>
      <c r="Y448" s="95">
        <f t="shared" si="64"/>
        <v>-268949931.53616679</v>
      </c>
      <c r="Z448" s="1"/>
      <c r="AA448" s="1"/>
      <c r="AB448" s="1"/>
      <c r="AC448" s="1"/>
      <c r="AD448" s="1"/>
      <c r="AE448" s="1"/>
      <c r="AF448" s="1"/>
      <c r="AG448" s="1"/>
      <c r="AH448" s="1"/>
    </row>
    <row r="449" spans="8:34" x14ac:dyDescent="0.35"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>
        <f t="shared" si="60"/>
        <v>394</v>
      </c>
      <c r="V449" s="95">
        <f t="shared" si="61"/>
        <v>-268949931.53616679</v>
      </c>
      <c r="W449" s="95">
        <f t="shared" si="62"/>
        <v>741379.89345166797</v>
      </c>
      <c r="X449" s="95">
        <f t="shared" si="63"/>
        <v>-269691311.42961848</v>
      </c>
      <c r="Y449" s="95">
        <f t="shared" si="64"/>
        <v>-272250356.44003028</v>
      </c>
      <c r="Z449" s="1"/>
      <c r="AA449" s="1"/>
      <c r="AB449" s="1"/>
      <c r="AC449" s="1"/>
      <c r="AD449" s="1"/>
      <c r="AE449" s="1"/>
      <c r="AF449" s="1"/>
      <c r="AG449" s="1"/>
      <c r="AH449" s="1"/>
    </row>
    <row r="450" spans="8:34" x14ac:dyDescent="0.35"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>
        <f t="shared" si="60"/>
        <v>395</v>
      </c>
      <c r="V450" s="95">
        <f t="shared" si="61"/>
        <v>-272250356.44003028</v>
      </c>
      <c r="W450" s="95">
        <f t="shared" si="62"/>
        <v>744400.36690829811</v>
      </c>
      <c r="X450" s="95">
        <f t="shared" si="63"/>
        <v>-272994756.80693859</v>
      </c>
      <c r="Y450" s="95">
        <f t="shared" si="64"/>
        <v>-275585147.52650648</v>
      </c>
      <c r="Z450" s="1"/>
      <c r="AA450" s="1"/>
      <c r="AB450" s="1"/>
      <c r="AC450" s="1"/>
      <c r="AD450" s="1"/>
      <c r="AE450" s="1"/>
      <c r="AF450" s="1"/>
      <c r="AG450" s="1"/>
      <c r="AH450" s="1"/>
    </row>
    <row r="451" spans="8:34" x14ac:dyDescent="0.35"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>
        <f t="shared" si="60"/>
        <v>396</v>
      </c>
      <c r="V451" s="95">
        <f t="shared" si="61"/>
        <v>-275585147.52650648</v>
      </c>
      <c r="W451" s="95">
        <f t="shared" si="62"/>
        <v>747433.14614767581</v>
      </c>
      <c r="X451" s="95">
        <f t="shared" si="63"/>
        <v>-276332580.67265415</v>
      </c>
      <c r="Y451" s="95">
        <f t="shared" si="64"/>
        <v>-278954643.31173593</v>
      </c>
      <c r="Z451" s="1"/>
      <c r="AA451" s="1"/>
      <c r="AB451" s="1"/>
      <c r="AC451" s="1"/>
      <c r="AD451" s="1"/>
      <c r="AE451" s="1"/>
      <c r="AF451" s="1"/>
      <c r="AG451" s="1"/>
      <c r="AH451" s="1"/>
    </row>
    <row r="452" spans="8:34" x14ac:dyDescent="0.35"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>
        <f t="shared" si="60"/>
        <v>397</v>
      </c>
      <c r="V452" s="95">
        <f t="shared" si="61"/>
        <v>-278954643.31173593</v>
      </c>
      <c r="W452" s="95">
        <f t="shared" si="62"/>
        <v>750478.28130508319</v>
      </c>
      <c r="X452" s="95">
        <f t="shared" si="63"/>
        <v>-279705121.593041</v>
      </c>
      <c r="Y452" s="95">
        <f t="shared" si="64"/>
        <v>-282359185.57457972</v>
      </c>
      <c r="Z452" s="1"/>
      <c r="AA452" s="1"/>
      <c r="AB452" s="1"/>
      <c r="AC452" s="1"/>
      <c r="AD452" s="1"/>
      <c r="AE452" s="1"/>
      <c r="AF452" s="1"/>
      <c r="AG452" s="1"/>
      <c r="AH452" s="1"/>
    </row>
    <row r="453" spans="8:34" x14ac:dyDescent="0.35"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>
        <f t="shared" si="60"/>
        <v>398</v>
      </c>
      <c r="V453" s="95">
        <f t="shared" si="61"/>
        <v>-282359185.57457972</v>
      </c>
      <c r="W453" s="95">
        <f t="shared" si="62"/>
        <v>753535.82272005978</v>
      </c>
      <c r="X453" s="95">
        <f t="shared" si="63"/>
        <v>-283112721.39729977</v>
      </c>
      <c r="Y453" s="95">
        <f t="shared" si="64"/>
        <v>-285799119.38778502</v>
      </c>
      <c r="Z453" s="1"/>
      <c r="AA453" s="1"/>
      <c r="AB453" s="1"/>
      <c r="AC453" s="1"/>
      <c r="AD453" s="1"/>
      <c r="AE453" s="1"/>
      <c r="AF453" s="1"/>
      <c r="AG453" s="1"/>
      <c r="AH453" s="1"/>
    </row>
    <row r="454" spans="8:34" x14ac:dyDescent="0.35"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>
        <f t="shared" si="60"/>
        <v>399</v>
      </c>
      <c r="V454" s="95">
        <f t="shared" si="61"/>
        <v>-285799119.38778502</v>
      </c>
      <c r="W454" s="95">
        <f t="shared" si="62"/>
        <v>756605.82093723456</v>
      </c>
      <c r="X454" s="95">
        <f t="shared" si="63"/>
        <v>-286555725.20872223</v>
      </c>
      <c r="Y454" s="95">
        <f t="shared" si="64"/>
        <v>-289274793.14944708</v>
      </c>
      <c r="Z454" s="1"/>
      <c r="AA454" s="1"/>
      <c r="AB454" s="1"/>
      <c r="AC454" s="1"/>
      <c r="AD454" s="1"/>
      <c r="AE454" s="1"/>
      <c r="AF454" s="1"/>
      <c r="AG454" s="1"/>
      <c r="AH454" s="1"/>
    </row>
    <row r="455" spans="8:34" x14ac:dyDescent="0.35"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>
        <f t="shared" si="60"/>
        <v>400</v>
      </c>
      <c r="V455" s="95">
        <f t="shared" si="61"/>
        <v>-289274793.14944708</v>
      </c>
      <c r="W455" s="95">
        <f t="shared" si="62"/>
        <v>759688.32670716173</v>
      </c>
      <c r="X455" s="95">
        <f t="shared" si="63"/>
        <v>-290034481.47615427</v>
      </c>
      <c r="Y455" s="95">
        <f t="shared" si="64"/>
        <v>-292786558.61477065</v>
      </c>
      <c r="Z455" s="1"/>
      <c r="AA455" s="1"/>
      <c r="AB455" s="1"/>
      <c r="AC455" s="1"/>
      <c r="AD455" s="1"/>
      <c r="AE455" s="1"/>
      <c r="AF455" s="1"/>
      <c r="AG455" s="1"/>
      <c r="AH455" s="1"/>
    </row>
    <row r="456" spans="8:34" x14ac:dyDescent="0.35"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>
        <f t="shared" si="60"/>
        <v>401</v>
      </c>
      <c r="V456" s="95">
        <f t="shared" si="61"/>
        <v>-292786558.61477065</v>
      </c>
      <c r="W456" s="95">
        <f t="shared" si="62"/>
        <v>762783.39098715945</v>
      </c>
      <c r="X456" s="95">
        <f t="shared" si="63"/>
        <v>-293549342.00575781</v>
      </c>
      <c r="Y456" s="95">
        <f t="shared" si="64"/>
        <v>-296334770.92813355</v>
      </c>
      <c r="Z456" s="1"/>
      <c r="AA456" s="1"/>
      <c r="AB456" s="1"/>
      <c r="AC456" s="1"/>
      <c r="AD456" s="1"/>
      <c r="AE456" s="1"/>
      <c r="AF456" s="1"/>
      <c r="AG456" s="1"/>
      <c r="AH456" s="1"/>
    </row>
    <row r="457" spans="8:34" x14ac:dyDescent="0.35"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>
        <f t="shared" si="60"/>
        <v>402</v>
      </c>
      <c r="V457" s="95">
        <f t="shared" si="61"/>
        <v>-296334770.92813355</v>
      </c>
      <c r="W457" s="95">
        <f t="shared" si="62"/>
        <v>765891.06494215212</v>
      </c>
      <c r="X457" s="95">
        <f t="shared" si="63"/>
        <v>-297100661.99307573</v>
      </c>
      <c r="Y457" s="95">
        <f t="shared" si="64"/>
        <v>-299919788.65545559</v>
      </c>
      <c r="Z457" s="1"/>
      <c r="AA457" s="1"/>
      <c r="AB457" s="1"/>
      <c r="AC457" s="1"/>
      <c r="AD457" s="1"/>
      <c r="AE457" s="1"/>
      <c r="AF457" s="1"/>
      <c r="AG457" s="1"/>
      <c r="AH457" s="1"/>
    </row>
    <row r="458" spans="8:34" x14ac:dyDescent="0.35"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>
        <f t="shared" si="60"/>
        <v>403</v>
      </c>
      <c r="V458" s="95">
        <f t="shared" si="61"/>
        <v>-299919788.65545559</v>
      </c>
      <c r="W458" s="95">
        <f t="shared" si="62"/>
        <v>769011.39994551672</v>
      </c>
      <c r="X458" s="95">
        <f t="shared" si="63"/>
        <v>-300688800.05540109</v>
      </c>
      <c r="Y458" s="95">
        <f t="shared" si="64"/>
        <v>-303541973.81687504</v>
      </c>
      <c r="Z458" s="1"/>
      <c r="AA458" s="1"/>
      <c r="AB458" s="1"/>
      <c r="AC458" s="1"/>
      <c r="AD458" s="1"/>
      <c r="AE458" s="1"/>
      <c r="AF458" s="1"/>
      <c r="AG458" s="1"/>
      <c r="AH458" s="1"/>
    </row>
    <row r="459" spans="8:34" x14ac:dyDescent="0.35"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>
        <f t="shared" si="60"/>
        <v>404</v>
      </c>
      <c r="V459" s="95">
        <f t="shared" si="61"/>
        <v>-303541973.81687504</v>
      </c>
      <c r="W459" s="95">
        <f t="shared" si="62"/>
        <v>772144.44757993147</v>
      </c>
      <c r="X459" s="95">
        <f t="shared" si="63"/>
        <v>-304314118.26445496</v>
      </c>
      <c r="Y459" s="95">
        <f t="shared" si="64"/>
        <v>-307201691.91973656</v>
      </c>
      <c r="Z459" s="1"/>
      <c r="AA459" s="1"/>
      <c r="AB459" s="1"/>
      <c r="AC459" s="1"/>
      <c r="AD459" s="1"/>
      <c r="AE459" s="1"/>
      <c r="AF459" s="1"/>
      <c r="AG459" s="1"/>
      <c r="AH459" s="1"/>
    </row>
    <row r="460" spans="8:34" x14ac:dyDescent="0.35"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>
        <f t="shared" si="60"/>
        <v>405</v>
      </c>
      <c r="V460" s="95">
        <f t="shared" si="61"/>
        <v>-307201691.91973656</v>
      </c>
      <c r="W460" s="95">
        <f t="shared" si="62"/>
        <v>775290.25963822892</v>
      </c>
      <c r="X460" s="95">
        <f t="shared" si="63"/>
        <v>-307976982.17937481</v>
      </c>
      <c r="Y460" s="95">
        <f t="shared" si="64"/>
        <v>-310899311.9918927</v>
      </c>
      <c r="Z460" s="1"/>
      <c r="AA460" s="1"/>
      <c r="AB460" s="1"/>
      <c r="AC460" s="1"/>
      <c r="AD460" s="1"/>
      <c r="AE460" s="1"/>
      <c r="AF460" s="1"/>
      <c r="AG460" s="1"/>
      <c r="AH460" s="1"/>
    </row>
    <row r="461" spans="8:34" x14ac:dyDescent="0.35"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>
        <f t="shared" si="60"/>
        <v>406</v>
      </c>
      <c r="V461" s="95">
        <f t="shared" si="61"/>
        <v>-310899311.9918927</v>
      </c>
      <c r="W461" s="95">
        <f t="shared" si="62"/>
        <v>778448.88812425197</v>
      </c>
      <c r="X461" s="95">
        <f t="shared" si="63"/>
        <v>-311677760.88001692</v>
      </c>
      <c r="Y461" s="95">
        <f t="shared" si="64"/>
        <v>-314635206.61532187</v>
      </c>
      <c r="Z461" s="1"/>
      <c r="AA461" s="1"/>
      <c r="AB461" s="1"/>
      <c r="AC461" s="1"/>
      <c r="AD461" s="1"/>
      <c r="AE461" s="1"/>
      <c r="AF461" s="1"/>
      <c r="AG461" s="1"/>
      <c r="AH461" s="1"/>
    </row>
    <row r="462" spans="8:34" x14ac:dyDescent="0.35"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>
        <f t="shared" si="60"/>
        <v>407</v>
      </c>
      <c r="V462" s="95">
        <f t="shared" si="61"/>
        <v>-314635206.61532187</v>
      </c>
      <c r="W462" s="95">
        <f t="shared" si="62"/>
        <v>781620.38525371358</v>
      </c>
      <c r="X462" s="95">
        <f t="shared" si="63"/>
        <v>-315416827.0005756</v>
      </c>
      <c r="Y462" s="95">
        <f t="shared" si="64"/>
        <v>-318409751.96006727</v>
      </c>
      <c r="Z462" s="1"/>
      <c r="AA462" s="1"/>
      <c r="AB462" s="1"/>
      <c r="AC462" s="1"/>
      <c r="AD462" s="1"/>
      <c r="AE462" s="1"/>
      <c r="AF462" s="1"/>
      <c r="AG462" s="1"/>
      <c r="AH462" s="1"/>
    </row>
    <row r="463" spans="8:34" x14ac:dyDescent="0.35"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>
        <f t="shared" si="60"/>
        <v>408</v>
      </c>
      <c r="V463" s="95">
        <f t="shared" si="61"/>
        <v>-318409751.96006727</v>
      </c>
      <c r="W463" s="95">
        <f t="shared" si="62"/>
        <v>784804.80345506012</v>
      </c>
      <c r="X463" s="95">
        <f t="shared" si="63"/>
        <v>-319194556.76352233</v>
      </c>
      <c r="Y463" s="95">
        <f t="shared" si="64"/>
        <v>-322223327.81849742</v>
      </c>
      <c r="Z463" s="1"/>
      <c r="AA463" s="1"/>
      <c r="AB463" s="1"/>
      <c r="AC463" s="1"/>
      <c r="AD463" s="1"/>
      <c r="AE463" s="1"/>
      <c r="AF463" s="1"/>
      <c r="AG463" s="1"/>
      <c r="AH463" s="1"/>
    </row>
    <row r="464" spans="8:34" x14ac:dyDescent="0.35"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>
        <f t="shared" si="60"/>
        <v>409</v>
      </c>
      <c r="V464" s="95">
        <f t="shared" si="61"/>
        <v>-322223327.81849742</v>
      </c>
      <c r="W464" s="95">
        <f t="shared" si="62"/>
        <v>788002.19537033781</v>
      </c>
      <c r="X464" s="95">
        <f t="shared" si="63"/>
        <v>-323011330.01386774</v>
      </c>
      <c r="Y464" s="95">
        <f t="shared" si="64"/>
        <v>-326076317.63989359</v>
      </c>
      <c r="Z464" s="1"/>
      <c r="AA464" s="1"/>
      <c r="AB464" s="1"/>
      <c r="AC464" s="1"/>
      <c r="AD464" s="1"/>
      <c r="AE464" s="1"/>
      <c r="AF464" s="1"/>
      <c r="AG464" s="1"/>
      <c r="AH464" s="1"/>
    </row>
    <row r="465" spans="8:34" x14ac:dyDescent="0.35"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>
        <f t="shared" si="60"/>
        <v>410</v>
      </c>
      <c r="V465" s="95">
        <f t="shared" si="61"/>
        <v>-326076317.63989359</v>
      </c>
      <c r="W465" s="95">
        <f t="shared" si="62"/>
        <v>791212.61385606322</v>
      </c>
      <c r="X465" s="95">
        <f t="shared" si="63"/>
        <v>-326867530.25374967</v>
      </c>
      <c r="Y465" s="95">
        <f t="shared" si="64"/>
        <v>-329969108.56536603</v>
      </c>
      <c r="Z465" s="1"/>
      <c r="AA465" s="1"/>
      <c r="AB465" s="1"/>
      <c r="AC465" s="1"/>
      <c r="AD465" s="1"/>
      <c r="AE465" s="1"/>
      <c r="AF465" s="1"/>
      <c r="AG465" s="1"/>
      <c r="AH465" s="1"/>
    </row>
    <row r="466" spans="8:34" x14ac:dyDescent="0.35"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>
        <f t="shared" si="60"/>
        <v>411</v>
      </c>
      <c r="V466" s="95">
        <f t="shared" si="61"/>
        <v>-329969108.56536603</v>
      </c>
      <c r="W466" s="95">
        <f t="shared" si="62"/>
        <v>794436.11198409682</v>
      </c>
      <c r="X466" s="95">
        <f t="shared" si="63"/>
        <v>-330763544.6773501</v>
      </c>
      <c r="Y466" s="95">
        <f t="shared" si="64"/>
        <v>-333902091.46310216</v>
      </c>
      <c r="Z466" s="1"/>
      <c r="AA466" s="1"/>
      <c r="AB466" s="1"/>
      <c r="AC466" s="1"/>
      <c r="AD466" s="1"/>
      <c r="AE466" s="1"/>
      <c r="AF466" s="1"/>
      <c r="AG466" s="1"/>
      <c r="AH466" s="1"/>
    </row>
    <row r="467" spans="8:34" x14ac:dyDescent="0.35"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>
        <f t="shared" si="60"/>
        <v>412</v>
      </c>
      <c r="V467" s="95">
        <f t="shared" si="61"/>
        <v>-333902091.46310216</v>
      </c>
      <c r="W467" s="95">
        <f t="shared" si="62"/>
        <v>797672.74304252036</v>
      </c>
      <c r="X467" s="95">
        <f t="shared" si="63"/>
        <v>-334699764.20614469</v>
      </c>
      <c r="Y467" s="95">
        <f t="shared" si="64"/>
        <v>-337875660.96395057</v>
      </c>
      <c r="Z467" s="1"/>
      <c r="AA467" s="1"/>
      <c r="AB467" s="1"/>
      <c r="AC467" s="1"/>
      <c r="AD467" s="1"/>
      <c r="AE467" s="1"/>
      <c r="AF467" s="1"/>
      <c r="AG467" s="1"/>
      <c r="AH467" s="1"/>
    </row>
    <row r="468" spans="8:34" x14ac:dyDescent="0.35"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>
        <f t="shared" si="60"/>
        <v>413</v>
      </c>
      <c r="V468" s="95">
        <f t="shared" si="61"/>
        <v>-337875660.96395057</v>
      </c>
      <c r="W468" s="95">
        <f t="shared" si="62"/>
        <v>800922.56053651788</v>
      </c>
      <c r="X468" s="95">
        <f t="shared" si="63"/>
        <v>-338676583.52448708</v>
      </c>
      <c r="Y468" s="95">
        <f t="shared" si="64"/>
        <v>-341890215.49734294</v>
      </c>
      <c r="Z468" s="1"/>
      <c r="AA468" s="1"/>
      <c r="AB468" s="1"/>
      <c r="AC468" s="1"/>
      <c r="AD468" s="1"/>
      <c r="AE468" s="1"/>
      <c r="AF468" s="1"/>
      <c r="AG468" s="1"/>
      <c r="AH468" s="1"/>
    </row>
    <row r="469" spans="8:34" x14ac:dyDescent="0.35"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>
        <f t="shared" si="60"/>
        <v>414</v>
      </c>
      <c r="V469" s="95">
        <f t="shared" si="61"/>
        <v>-341890215.49734294</v>
      </c>
      <c r="W469" s="95">
        <f t="shared" si="62"/>
        <v>804185.61818926025</v>
      </c>
      <c r="X469" s="95">
        <f t="shared" si="63"/>
        <v>-342694401.11553222</v>
      </c>
      <c r="Y469" s="95">
        <f t="shared" si="64"/>
        <v>-345946157.32755846</v>
      </c>
      <c r="Z469" s="1"/>
      <c r="AA469" s="1"/>
      <c r="AB469" s="1"/>
      <c r="AC469" s="1"/>
      <c r="AD469" s="1"/>
      <c r="AE469" s="1"/>
      <c r="AF469" s="1"/>
      <c r="AG469" s="1"/>
      <c r="AH469" s="1"/>
    </row>
    <row r="470" spans="8:34" x14ac:dyDescent="0.35"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>
        <f t="shared" si="60"/>
        <v>415</v>
      </c>
      <c r="V470" s="95">
        <f t="shared" si="61"/>
        <v>-345946157.32755846</v>
      </c>
      <c r="W470" s="95">
        <f t="shared" si="62"/>
        <v>807461.96994279302</v>
      </c>
      <c r="X470" s="95">
        <f t="shared" si="63"/>
        <v>-346753619.29750127</v>
      </c>
      <c r="Y470" s="95">
        <f t="shared" si="64"/>
        <v>-350043892.59033251</v>
      </c>
      <c r="Z470" s="1"/>
      <c r="AA470" s="1"/>
      <c r="AB470" s="1"/>
      <c r="AC470" s="1"/>
      <c r="AD470" s="1"/>
      <c r="AE470" s="1"/>
      <c r="AF470" s="1"/>
      <c r="AG470" s="1"/>
      <c r="AH470" s="1"/>
    </row>
    <row r="471" spans="8:34" x14ac:dyDescent="0.35"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>
        <f t="shared" si="60"/>
        <v>416</v>
      </c>
      <c r="V471" s="95">
        <f t="shared" si="61"/>
        <v>-350043892.59033251</v>
      </c>
      <c r="W471" s="95">
        <f t="shared" si="62"/>
        <v>810751.66995892848</v>
      </c>
      <c r="X471" s="95">
        <f t="shared" si="63"/>
        <v>-350854644.26029146</v>
      </c>
      <c r="Y471" s="95">
        <f t="shared" si="64"/>
        <v>-354183831.32981414</v>
      </c>
      <c r="Z471" s="1"/>
      <c r="AA471" s="1"/>
      <c r="AB471" s="1"/>
      <c r="AC471" s="1"/>
      <c r="AD471" s="1"/>
      <c r="AE471" s="1"/>
      <c r="AF471" s="1"/>
      <c r="AG471" s="1"/>
      <c r="AH471" s="1"/>
    </row>
    <row r="472" spans="8:34" x14ac:dyDescent="0.35"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>
        <f t="shared" si="60"/>
        <v>417</v>
      </c>
      <c r="V472" s="95">
        <f t="shared" si="61"/>
        <v>-354183831.32981414</v>
      </c>
      <c r="W472" s="95">
        <f t="shared" si="62"/>
        <v>814054.77262014081</v>
      </c>
      <c r="X472" s="95">
        <f t="shared" si="63"/>
        <v>-354997886.10243428</v>
      </c>
      <c r="Y472" s="95">
        <f t="shared" si="64"/>
        <v>-358366387.53587496</v>
      </c>
      <c r="Z472" s="1"/>
      <c r="AA472" s="1"/>
      <c r="AB472" s="1"/>
      <c r="AC472" s="1"/>
      <c r="AD472" s="1"/>
      <c r="AE472" s="1"/>
      <c r="AF472" s="1"/>
      <c r="AG472" s="1"/>
      <c r="AH472" s="1"/>
    </row>
    <row r="473" spans="8:34" x14ac:dyDescent="0.35"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>
        <f t="shared" si="60"/>
        <v>418</v>
      </c>
      <c r="V473" s="95">
        <f t="shared" si="61"/>
        <v>-358366387.53587496</v>
      </c>
      <c r="W473" s="95">
        <f t="shared" si="62"/>
        <v>817371.33253046498</v>
      </c>
      <c r="X473" s="95">
        <f t="shared" si="63"/>
        <v>-359183758.8684054</v>
      </c>
      <c r="Y473" s="95">
        <f t="shared" si="64"/>
        <v>-362591979.18177289</v>
      </c>
      <c r="Z473" s="1"/>
      <c r="AA473" s="1"/>
      <c r="AB473" s="1"/>
      <c r="AC473" s="1"/>
      <c r="AD473" s="1"/>
      <c r="AE473" s="1"/>
      <c r="AF473" s="1"/>
      <c r="AG473" s="1"/>
      <c r="AH473" s="1"/>
    </row>
    <row r="474" spans="8:34" x14ac:dyDescent="0.35"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>
        <f t="shared" si="60"/>
        <v>419</v>
      </c>
      <c r="V474" s="95">
        <f t="shared" si="61"/>
        <v>-362591979.18177289</v>
      </c>
      <c r="W474" s="95">
        <f t="shared" si="62"/>
        <v>820701.40451639972</v>
      </c>
      <c r="X474" s="95">
        <f t="shared" si="63"/>
        <v>-363412680.58628929</v>
      </c>
      <c r="Y474" s="95">
        <f t="shared" si="64"/>
        <v>-366861028.26217437</v>
      </c>
      <c r="Z474" s="1"/>
      <c r="AA474" s="1"/>
      <c r="AB474" s="1"/>
      <c r="AC474" s="1"/>
      <c r="AD474" s="1"/>
      <c r="AE474" s="1"/>
      <c r="AF474" s="1"/>
      <c r="AG474" s="1"/>
      <c r="AH474" s="1"/>
    </row>
    <row r="475" spans="8:34" x14ac:dyDescent="0.35"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>
        <f t="shared" si="60"/>
        <v>420</v>
      </c>
      <c r="V475" s="95">
        <f t="shared" si="61"/>
        <v>-366861028.26217437</v>
      </c>
      <c r="W475" s="95">
        <f t="shared" si="62"/>
        <v>824045.04362781357</v>
      </c>
      <c r="X475" s="95">
        <f t="shared" si="63"/>
        <v>-367685073.30580217</v>
      </c>
      <c r="Y475" s="95">
        <f t="shared" si="64"/>
        <v>-371173960.8315379</v>
      </c>
      <c r="Z475" s="1"/>
      <c r="AA475" s="1"/>
      <c r="AB475" s="1"/>
      <c r="AC475" s="1"/>
      <c r="AD475" s="1"/>
      <c r="AE475" s="1"/>
      <c r="AF475" s="1"/>
      <c r="AG475" s="1"/>
      <c r="AH475" s="1"/>
    </row>
    <row r="476" spans="8:34" x14ac:dyDescent="0.35"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>
        <f t="shared" si="60"/>
        <v>421</v>
      </c>
      <c r="V476" s="95">
        <f t="shared" si="61"/>
        <v>-371173960.8315379</v>
      </c>
      <c r="W476" s="95">
        <f t="shared" si="62"/>
        <v>827402.30513885524</v>
      </c>
      <c r="X476" s="95">
        <f t="shared" si="63"/>
        <v>-372001363.13667673</v>
      </c>
      <c r="Y476" s="95">
        <f t="shared" si="64"/>
        <v>-375531207.04286331</v>
      </c>
      <c r="Z476" s="1"/>
      <c r="AA476" s="1"/>
      <c r="AB476" s="1"/>
      <c r="AC476" s="1"/>
      <c r="AD476" s="1"/>
      <c r="AE476" s="1"/>
      <c r="AF476" s="1"/>
      <c r="AG476" s="1"/>
      <c r="AH476" s="1"/>
    </row>
    <row r="477" spans="8:34" x14ac:dyDescent="0.35"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>
        <f t="shared" si="60"/>
        <v>422</v>
      </c>
      <c r="V477" s="95">
        <f t="shared" si="61"/>
        <v>-375531207.04286331</v>
      </c>
      <c r="W477" s="95">
        <f t="shared" si="62"/>
        <v>830773.24454886687</v>
      </c>
      <c r="X477" s="95">
        <f t="shared" si="63"/>
        <v>-376361980.28741217</v>
      </c>
      <c r="Y477" s="95">
        <f t="shared" si="64"/>
        <v>-379933201.18680906</v>
      </c>
      <c r="Z477" s="1"/>
      <c r="AA477" s="1"/>
      <c r="AB477" s="1"/>
      <c r="AC477" s="1"/>
      <c r="AD477" s="1"/>
      <c r="AE477" s="1"/>
      <c r="AF477" s="1"/>
      <c r="AG477" s="1"/>
      <c r="AH477" s="1"/>
    </row>
    <row r="478" spans="8:34" x14ac:dyDescent="0.35"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>
        <f t="shared" si="60"/>
        <v>423</v>
      </c>
      <c r="V478" s="95">
        <f t="shared" si="61"/>
        <v>-379933201.18680906</v>
      </c>
      <c r="W478" s="95">
        <f t="shared" si="62"/>
        <v>834157.91758330213</v>
      </c>
      <c r="X478" s="95">
        <f t="shared" si="63"/>
        <v>-380767359.10439235</v>
      </c>
      <c r="Y478" s="95">
        <f t="shared" si="64"/>
        <v>-384380381.73118198</v>
      </c>
      <c r="Z478" s="1"/>
      <c r="AA478" s="1"/>
      <c r="AB478" s="1"/>
      <c r="AC478" s="1"/>
      <c r="AD478" s="1"/>
      <c r="AE478" s="1"/>
      <c r="AF478" s="1"/>
      <c r="AG478" s="1"/>
      <c r="AH478" s="1"/>
    </row>
    <row r="479" spans="8:34" x14ac:dyDescent="0.35"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>
        <f t="shared" si="60"/>
        <v>424</v>
      </c>
      <c r="V479" s="95">
        <f t="shared" si="61"/>
        <v>-384380381.73118198</v>
      </c>
      <c r="W479" s="95">
        <f t="shared" si="62"/>
        <v>837556.38019464689</v>
      </c>
      <c r="X479" s="95">
        <f t="shared" si="63"/>
        <v>-385217938.11137664</v>
      </c>
      <c r="Y479" s="95">
        <f t="shared" si="64"/>
        <v>-388873191.36080253</v>
      </c>
      <c r="Z479" s="1"/>
      <c r="AA479" s="1"/>
      <c r="AB479" s="1"/>
      <c r="AC479" s="1"/>
      <c r="AD479" s="1"/>
      <c r="AE479" s="1"/>
      <c r="AF479" s="1"/>
      <c r="AG479" s="1"/>
      <c r="AH479" s="1"/>
    </row>
    <row r="480" spans="8:34" x14ac:dyDescent="0.35"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>
        <f t="shared" si="60"/>
        <v>425</v>
      </c>
      <c r="V480" s="95">
        <f t="shared" si="61"/>
        <v>-388873191.36080253</v>
      </c>
      <c r="W480" s="95">
        <f t="shared" si="62"/>
        <v>840968.6885633443</v>
      </c>
      <c r="X480" s="95">
        <f t="shared" si="63"/>
        <v>-389714160.04936588</v>
      </c>
      <c r="Y480" s="95">
        <f t="shared" si="64"/>
        <v>-393412077.01774925</v>
      </c>
      <c r="Z480" s="1"/>
      <c r="AA480" s="1"/>
      <c r="AB480" s="1"/>
      <c r="AC480" s="1"/>
      <c r="AD480" s="1"/>
      <c r="AE480" s="1"/>
      <c r="AF480" s="1"/>
      <c r="AG480" s="1"/>
      <c r="AH480" s="1"/>
    </row>
    <row r="481" spans="8:34" x14ac:dyDescent="0.35"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>
        <f t="shared" si="60"/>
        <v>426</v>
      </c>
      <c r="V481" s="95">
        <f t="shared" si="61"/>
        <v>-393412077.01774925</v>
      </c>
      <c r="W481" s="95">
        <f t="shared" si="62"/>
        <v>844394.89909872378</v>
      </c>
      <c r="X481" s="95">
        <f t="shared" si="63"/>
        <v>-394256471.91684794</v>
      </c>
      <c r="Y481" s="95">
        <f t="shared" si="64"/>
        <v>-397997489.94198614</v>
      </c>
      <c r="Z481" s="1"/>
      <c r="AA481" s="1"/>
      <c r="AB481" s="1"/>
      <c r="AC481" s="1"/>
      <c r="AD481" s="1"/>
      <c r="AE481" s="1"/>
      <c r="AF481" s="1"/>
      <c r="AG481" s="1"/>
      <c r="AH481" s="1"/>
    </row>
    <row r="482" spans="8:34" x14ac:dyDescent="0.35"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>
        <f t="shared" si="60"/>
        <v>427</v>
      </c>
      <c r="V482" s="95">
        <f t="shared" si="61"/>
        <v>-397997489.94198614</v>
      </c>
      <c r="W482" s="95">
        <f t="shared" si="62"/>
        <v>847835.06843993324</v>
      </c>
      <c r="X482" s="95">
        <f t="shared" si="63"/>
        <v>-398845325.0104261</v>
      </c>
      <c r="Y482" s="95">
        <f t="shared" si="64"/>
        <v>-402629885.71237653</v>
      </c>
      <c r="Z482" s="1"/>
      <c r="AA482" s="1"/>
      <c r="AB482" s="1"/>
      <c r="AC482" s="1"/>
      <c r="AD482" s="1"/>
      <c r="AE482" s="1"/>
      <c r="AF482" s="1"/>
      <c r="AG482" s="1"/>
      <c r="AH482" s="1"/>
    </row>
    <row r="483" spans="8:34" x14ac:dyDescent="0.35"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>
        <f t="shared" si="60"/>
        <v>428</v>
      </c>
      <c r="V483" s="95">
        <f t="shared" si="61"/>
        <v>-402629885.71237653</v>
      </c>
      <c r="W483" s="95">
        <f t="shared" si="62"/>
        <v>851289.25345687545</v>
      </c>
      <c r="X483" s="95">
        <f t="shared" si="63"/>
        <v>-403481174.96583343</v>
      </c>
      <c r="Y483" s="95">
        <f t="shared" si="64"/>
        <v>-407309724.28808647</v>
      </c>
      <c r="Z483" s="1"/>
      <c r="AA483" s="1"/>
      <c r="AB483" s="1"/>
      <c r="AC483" s="1"/>
      <c r="AD483" s="1"/>
      <c r="AE483" s="1"/>
      <c r="AF483" s="1"/>
      <c r="AG483" s="1"/>
      <c r="AH483" s="1"/>
    </row>
    <row r="484" spans="8:34" x14ac:dyDescent="0.35"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>
        <f t="shared" si="60"/>
        <v>429</v>
      </c>
      <c r="V484" s="95">
        <f t="shared" si="61"/>
        <v>-407309724.28808647</v>
      </c>
      <c r="W484" s="95">
        <f t="shared" si="62"/>
        <v>854757.5112511483</v>
      </c>
      <c r="X484" s="95">
        <f t="shared" si="63"/>
        <v>-408164481.79933763</v>
      </c>
      <c r="Y484" s="95">
        <f t="shared" si="64"/>
        <v>-412037470.05038291</v>
      </c>
      <c r="Z484" s="1"/>
      <c r="AA484" s="1"/>
      <c r="AB484" s="1"/>
      <c r="AC484" s="1"/>
      <c r="AD484" s="1"/>
      <c r="AE484" s="1"/>
      <c r="AF484" s="1"/>
      <c r="AG484" s="1"/>
      <c r="AH484" s="1"/>
    </row>
    <row r="485" spans="8:34" x14ac:dyDescent="0.35"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>
        <f t="shared" si="60"/>
        <v>430</v>
      </c>
      <c r="V485" s="95">
        <f t="shared" si="61"/>
        <v>-412037470.05038291</v>
      </c>
      <c r="W485" s="95">
        <f t="shared" si="62"/>
        <v>858239.89915698871</v>
      </c>
      <c r="X485" s="95">
        <f t="shared" si="63"/>
        <v>-412895709.9495399</v>
      </c>
      <c r="Y485" s="95">
        <f t="shared" si="64"/>
        <v>-416813591.84482872</v>
      </c>
      <c r="Z485" s="1"/>
      <c r="AA485" s="1"/>
      <c r="AB485" s="1"/>
      <c r="AC485" s="1"/>
      <c r="AD485" s="1"/>
      <c r="AE485" s="1"/>
      <c r="AF485" s="1"/>
      <c r="AG485" s="1"/>
      <c r="AH485" s="1"/>
    </row>
    <row r="486" spans="8:34" x14ac:dyDescent="0.35"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>
        <f t="shared" si="60"/>
        <v>431</v>
      </c>
      <c r="V486" s="95">
        <f t="shared" si="61"/>
        <v>-416813591.84482872</v>
      </c>
      <c r="W486" s="95">
        <f t="shared" si="62"/>
        <v>861736.47474222013</v>
      </c>
      <c r="X486" s="95">
        <f t="shared" si="63"/>
        <v>-417675328.31957096</v>
      </c>
      <c r="Y486" s="95">
        <f t="shared" si="64"/>
        <v>-421638563.02387935</v>
      </c>
      <c r="Z486" s="1"/>
      <c r="AA486" s="1"/>
      <c r="AB486" s="1"/>
      <c r="AC486" s="1"/>
      <c r="AD486" s="1"/>
      <c r="AE486" s="1"/>
      <c r="AF486" s="1"/>
      <c r="AG486" s="1"/>
      <c r="AH486" s="1"/>
    </row>
    <row r="487" spans="8:34" x14ac:dyDescent="0.35"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>
        <f t="shared" si="60"/>
        <v>432</v>
      </c>
      <c r="V487" s="95">
        <f t="shared" si="61"/>
        <v>-421638563.02387935</v>
      </c>
      <c r="W487" s="95">
        <f t="shared" si="62"/>
        <v>865247.29580920469</v>
      </c>
      <c r="X487" s="95">
        <f t="shared" si="63"/>
        <v>-422503810.31968856</v>
      </c>
      <c r="Y487" s="95">
        <f t="shared" si="64"/>
        <v>-426512861.48988444</v>
      </c>
      <c r="Z487" s="1"/>
      <c r="AA487" s="1"/>
      <c r="AB487" s="1"/>
      <c r="AC487" s="1"/>
      <c r="AD487" s="1"/>
      <c r="AE487" s="1"/>
      <c r="AF487" s="1"/>
      <c r="AG487" s="1"/>
      <c r="AH487" s="1"/>
    </row>
    <row r="488" spans="8:34" x14ac:dyDescent="0.35"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>
        <f t="shared" si="60"/>
        <v>433</v>
      </c>
      <c r="V488" s="95">
        <f t="shared" si="61"/>
        <v>-426512861.48988444</v>
      </c>
      <c r="W488" s="95">
        <f t="shared" si="62"/>
        <v>868772.4203957984</v>
      </c>
      <c r="X488" s="95">
        <f t="shared" si="63"/>
        <v>-427381633.91028023</v>
      </c>
      <c r="Y488" s="95">
        <f t="shared" si="64"/>
        <v>-431436969.73849863</v>
      </c>
      <c r="Z488" s="1"/>
      <c r="AA488" s="1"/>
      <c r="AB488" s="1"/>
      <c r="AC488" s="1"/>
      <c r="AD488" s="1"/>
      <c r="AE488" s="1"/>
      <c r="AF488" s="1"/>
      <c r="AG488" s="1"/>
      <c r="AH488" s="1"/>
    </row>
    <row r="489" spans="8:34" x14ac:dyDescent="0.35"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>
        <f t="shared" si="60"/>
        <v>434</v>
      </c>
      <c r="V489" s="95">
        <f t="shared" si="61"/>
        <v>-431436969.73849863</v>
      </c>
      <c r="W489" s="95">
        <f t="shared" si="62"/>
        <v>872311.90677631064</v>
      </c>
      <c r="X489" s="95">
        <f t="shared" si="63"/>
        <v>-432309281.64527494</v>
      </c>
      <c r="Y489" s="95">
        <f t="shared" si="64"/>
        <v>-436411374.90250528</v>
      </c>
      <c r="Z489" s="1"/>
      <c r="AA489" s="1"/>
      <c r="AB489" s="1"/>
      <c r="AC489" s="1"/>
      <c r="AD489" s="1"/>
      <c r="AE489" s="1"/>
      <c r="AF489" s="1"/>
      <c r="AG489" s="1"/>
      <c r="AH489" s="1"/>
    </row>
    <row r="490" spans="8:34" x14ac:dyDescent="0.35"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>
        <f t="shared" si="60"/>
        <v>435</v>
      </c>
      <c r="V490" s="95">
        <f t="shared" si="61"/>
        <v>-436411374.90250528</v>
      </c>
      <c r="W490" s="95">
        <f t="shared" si="62"/>
        <v>875865.81346246763</v>
      </c>
      <c r="X490" s="95">
        <f t="shared" si="63"/>
        <v>-437287240.71596777</v>
      </c>
      <c r="Y490" s="95">
        <f t="shared" si="64"/>
        <v>-441436568.79605675</v>
      </c>
      <c r="Z490" s="1"/>
      <c r="AA490" s="1"/>
      <c r="AB490" s="1"/>
      <c r="AC490" s="1"/>
      <c r="AD490" s="1"/>
      <c r="AE490" s="1"/>
      <c r="AF490" s="1"/>
      <c r="AG490" s="1"/>
      <c r="AH490" s="1"/>
    </row>
    <row r="491" spans="8:34" x14ac:dyDescent="0.35"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>
        <f t="shared" si="60"/>
        <v>436</v>
      </c>
      <c r="V491" s="95">
        <f t="shared" si="61"/>
        <v>-441436568.79605675</v>
      </c>
      <c r="W491" s="95">
        <f t="shared" si="62"/>
        <v>879434.19920437958</v>
      </c>
      <c r="X491" s="95">
        <f t="shared" si="63"/>
        <v>-442316002.99526113</v>
      </c>
      <c r="Y491" s="95">
        <f t="shared" si="64"/>
        <v>-446513047.95933557</v>
      </c>
      <c r="Z491" s="1"/>
      <c r="AA491" s="1"/>
      <c r="AB491" s="1"/>
      <c r="AC491" s="1"/>
      <c r="AD491" s="1"/>
      <c r="AE491" s="1"/>
      <c r="AF491" s="1"/>
      <c r="AG491" s="1"/>
      <c r="AH491" s="1"/>
    </row>
    <row r="492" spans="8:34" x14ac:dyDescent="0.35"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>
        <f t="shared" si="60"/>
        <v>437</v>
      </c>
      <c r="V492" s="95">
        <f t="shared" si="61"/>
        <v>-446513047.95933557</v>
      </c>
      <c r="W492" s="95">
        <f t="shared" si="62"/>
        <v>883017.12299151183</v>
      </c>
      <c r="X492" s="95">
        <f t="shared" si="63"/>
        <v>-447396065.08232707</v>
      </c>
      <c r="Y492" s="95">
        <f t="shared" si="64"/>
        <v>-451641313.70364052</v>
      </c>
      <c r="Z492" s="1"/>
      <c r="AA492" s="1"/>
      <c r="AB492" s="1"/>
      <c r="AC492" s="1"/>
      <c r="AD492" s="1"/>
      <c r="AE492" s="1"/>
      <c r="AF492" s="1"/>
      <c r="AG492" s="1"/>
      <c r="AH492" s="1"/>
    </row>
    <row r="493" spans="8:34" x14ac:dyDescent="0.35"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>
        <f t="shared" si="60"/>
        <v>438</v>
      </c>
      <c r="V493" s="95">
        <f t="shared" si="61"/>
        <v>-451641313.70364052</v>
      </c>
      <c r="W493" s="95">
        <f t="shared" si="62"/>
        <v>886614.64405366033</v>
      </c>
      <c r="X493" s="95">
        <f t="shared" si="63"/>
        <v>-452527928.34769416</v>
      </c>
      <c r="Y493" s="95">
        <f t="shared" si="64"/>
        <v>-456821872.15690124</v>
      </c>
      <c r="Z493" s="1"/>
      <c r="AA493" s="1"/>
      <c r="AB493" s="1"/>
      <c r="AC493" s="1"/>
      <c r="AD493" s="1"/>
      <c r="AE493" s="1"/>
      <c r="AF493" s="1"/>
      <c r="AG493" s="1"/>
      <c r="AH493" s="1"/>
    </row>
    <row r="494" spans="8:34" x14ac:dyDescent="0.35"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>
        <f t="shared" si="60"/>
        <v>439</v>
      </c>
      <c r="V494" s="95">
        <f t="shared" si="61"/>
        <v>-456821872.15690124</v>
      </c>
      <c r="W494" s="95">
        <f t="shared" si="62"/>
        <v>890226.82186193031</v>
      </c>
      <c r="X494" s="95">
        <f t="shared" si="63"/>
        <v>-457712098.97876316</v>
      </c>
      <c r="Y494" s="95">
        <f t="shared" si="64"/>
        <v>-462055234.30962604</v>
      </c>
      <c r="Z494" s="1"/>
      <c r="AA494" s="1"/>
      <c r="AB494" s="1"/>
      <c r="AC494" s="1"/>
      <c r="AD494" s="1"/>
      <c r="AE494" s="1"/>
      <c r="AF494" s="1"/>
      <c r="AG494" s="1"/>
      <c r="AH494" s="1"/>
    </row>
    <row r="495" spans="8:34" x14ac:dyDescent="0.35"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>
        <f t="shared" si="60"/>
        <v>440</v>
      </c>
      <c r="V495" s="95">
        <f t="shared" si="61"/>
        <v>-462055234.30962604</v>
      </c>
      <c r="W495" s="95">
        <f t="shared" si="62"/>
        <v>893853.71612971963</v>
      </c>
      <c r="X495" s="95">
        <f t="shared" si="63"/>
        <v>-462949088.02575576</v>
      </c>
      <c r="Y495" s="95">
        <f t="shared" si="64"/>
        <v>-467341916.06128621</v>
      </c>
      <c r="Z495" s="1"/>
      <c r="AA495" s="1"/>
      <c r="AB495" s="1"/>
      <c r="AC495" s="1"/>
      <c r="AD495" s="1"/>
      <c r="AE495" s="1"/>
      <c r="AF495" s="1"/>
      <c r="AG495" s="1"/>
      <c r="AH495" s="1"/>
    </row>
    <row r="496" spans="8:34" x14ac:dyDescent="0.35"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>
        <f t="shared" si="60"/>
        <v>441</v>
      </c>
      <c r="V496" s="95">
        <f t="shared" si="61"/>
        <v>-467341916.06128621</v>
      </c>
      <c r="W496" s="95">
        <f t="shared" si="62"/>
        <v>897495.38681370614</v>
      </c>
      <c r="X496" s="95">
        <f t="shared" si="63"/>
        <v>-468239411.44809991</v>
      </c>
      <c r="Y496" s="95">
        <f t="shared" si="64"/>
        <v>-472682438.26714194</v>
      </c>
      <c r="Z496" s="1"/>
      <c r="AA496" s="1"/>
      <c r="AB496" s="1"/>
      <c r="AC496" s="1"/>
      <c r="AD496" s="1"/>
      <c r="AE496" s="1"/>
      <c r="AF496" s="1"/>
      <c r="AG496" s="1"/>
      <c r="AH496" s="1"/>
    </row>
    <row r="497" spans="8:34" x14ac:dyDescent="0.35"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>
        <f t="shared" si="60"/>
        <v>442</v>
      </c>
      <c r="V497" s="95">
        <f t="shared" si="61"/>
        <v>-472682438.26714194</v>
      </c>
      <c r="W497" s="95">
        <f t="shared" si="62"/>
        <v>901151.89411483856</v>
      </c>
      <c r="X497" s="95">
        <f t="shared" si="63"/>
        <v>-473583590.16125679</v>
      </c>
      <c r="Y497" s="95">
        <f t="shared" si="64"/>
        <v>-478077326.7855134</v>
      </c>
      <c r="Z497" s="1"/>
      <c r="AA497" s="1"/>
      <c r="AB497" s="1"/>
      <c r="AC497" s="1"/>
      <c r="AD497" s="1"/>
      <c r="AE497" s="1"/>
      <c r="AF497" s="1"/>
      <c r="AG497" s="1"/>
      <c r="AH497" s="1"/>
    </row>
    <row r="498" spans="8:34" x14ac:dyDescent="0.35"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>
        <f t="shared" si="60"/>
        <v>443</v>
      </c>
      <c r="V498" s="95">
        <f t="shared" si="61"/>
        <v>-478077326.7855134</v>
      </c>
      <c r="W498" s="95">
        <f t="shared" si="62"/>
        <v>904823.29847933154</v>
      </c>
      <c r="X498" s="95">
        <f t="shared" si="63"/>
        <v>-478982150.08399272</v>
      </c>
      <c r="Y498" s="95">
        <f t="shared" si="64"/>
        <v>-483527112.52550113</v>
      </c>
      <c r="Z498" s="1"/>
      <c r="AA498" s="1"/>
      <c r="AB498" s="1"/>
      <c r="AC498" s="1"/>
      <c r="AD498" s="1"/>
      <c r="AE498" s="1"/>
      <c r="AF498" s="1"/>
      <c r="AG498" s="1"/>
      <c r="AH498" s="1"/>
    </row>
    <row r="499" spans="8:34" x14ac:dyDescent="0.35"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>
        <f t="shared" si="60"/>
        <v>444</v>
      </c>
      <c r="V499" s="95">
        <f t="shared" si="61"/>
        <v>-483527112.52550113</v>
      </c>
      <c r="W499" s="95">
        <f t="shared" si="62"/>
        <v>908509.66059966537</v>
      </c>
      <c r="X499" s="95">
        <f t="shared" si="63"/>
        <v>-484435622.18610078</v>
      </c>
      <c r="Y499" s="95">
        <f t="shared" si="64"/>
        <v>-489032331.49516058</v>
      </c>
      <c r="Z499" s="1"/>
      <c r="AA499" s="1"/>
      <c r="AB499" s="1"/>
      <c r="AC499" s="1"/>
      <c r="AD499" s="1"/>
      <c r="AE499" s="1"/>
      <c r="AF499" s="1"/>
      <c r="AG499" s="1"/>
      <c r="AH499" s="1"/>
    </row>
    <row r="500" spans="8:34" x14ac:dyDescent="0.35"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>
        <f t="shared" si="60"/>
        <v>445</v>
      </c>
      <c r="V500" s="95">
        <f t="shared" si="61"/>
        <v>-489032331.49516058</v>
      </c>
      <c r="W500" s="95">
        <f t="shared" si="62"/>
        <v>912211.04141558881</v>
      </c>
      <c r="X500" s="95">
        <f t="shared" si="63"/>
        <v>-489944542.53657615</v>
      </c>
      <c r="Y500" s="95">
        <f t="shared" si="64"/>
        <v>-494593524.85013473</v>
      </c>
      <c r="Z500" s="1"/>
      <c r="AA500" s="1"/>
      <c r="AB500" s="1"/>
      <c r="AC500" s="1"/>
      <c r="AD500" s="1"/>
      <c r="AE500" s="1"/>
      <c r="AF500" s="1"/>
      <c r="AG500" s="1"/>
      <c r="AH500" s="1"/>
    </row>
    <row r="501" spans="8:34" x14ac:dyDescent="0.35"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>
        <f t="shared" si="60"/>
        <v>446</v>
      </c>
      <c r="V501" s="95">
        <f t="shared" si="61"/>
        <v>-494593524.85013473</v>
      </c>
      <c r="W501" s="95">
        <f t="shared" si="62"/>
        <v>915927.5021151267</v>
      </c>
      <c r="X501" s="95">
        <f t="shared" si="63"/>
        <v>-495509452.35224986</v>
      </c>
      <c r="Y501" s="95">
        <f t="shared" si="64"/>
        <v>-500211238.94274902</v>
      </c>
      <c r="Z501" s="1"/>
      <c r="AA501" s="1"/>
      <c r="AB501" s="1"/>
      <c r="AC501" s="1"/>
      <c r="AD501" s="1"/>
      <c r="AE501" s="1"/>
      <c r="AF501" s="1"/>
      <c r="AG501" s="1"/>
      <c r="AH501" s="1"/>
    </row>
    <row r="502" spans="8:34" x14ac:dyDescent="0.35"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>
        <f t="shared" si="60"/>
        <v>447</v>
      </c>
      <c r="V502" s="95">
        <f t="shared" si="61"/>
        <v>-500211238.94274902</v>
      </c>
      <c r="W502" s="95">
        <f t="shared" si="62"/>
        <v>919659.10413559154</v>
      </c>
      <c r="X502" s="95">
        <f t="shared" si="63"/>
        <v>-501130898.0468846</v>
      </c>
      <c r="Y502" s="95">
        <f t="shared" si="64"/>
        <v>-505886025.37157315</v>
      </c>
      <c r="Z502" s="1"/>
      <c r="AA502" s="1"/>
      <c r="AB502" s="1"/>
      <c r="AC502" s="1"/>
      <c r="AD502" s="1"/>
      <c r="AE502" s="1"/>
      <c r="AF502" s="1"/>
      <c r="AG502" s="1"/>
      <c r="AH502" s="1"/>
    </row>
    <row r="503" spans="8:34" x14ac:dyDescent="0.35"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>
        <f t="shared" si="60"/>
        <v>448</v>
      </c>
      <c r="V503" s="95">
        <f t="shared" si="61"/>
        <v>-505886025.37157315</v>
      </c>
      <c r="W503" s="95">
        <f t="shared" si="62"/>
        <v>923405.90916459914</v>
      </c>
      <c r="X503" s="95">
        <f t="shared" si="63"/>
        <v>-506809431.28073776</v>
      </c>
      <c r="Y503" s="95">
        <f t="shared" si="64"/>
        <v>-511618441.03145444</v>
      </c>
      <c r="Z503" s="1"/>
      <c r="AA503" s="1"/>
      <c r="AB503" s="1"/>
      <c r="AC503" s="1"/>
      <c r="AD503" s="1"/>
      <c r="AE503" s="1"/>
      <c r="AF503" s="1"/>
      <c r="AG503" s="1"/>
      <c r="AH503" s="1"/>
    </row>
    <row r="504" spans="8:34" x14ac:dyDescent="0.35"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>
        <f t="shared" si="60"/>
        <v>449</v>
      </c>
      <c r="V504" s="95">
        <f t="shared" si="61"/>
        <v>-511618441.03145444</v>
      </c>
      <c r="W504" s="95">
        <f t="shared" si="62"/>
        <v>927167.97914108809</v>
      </c>
      <c r="X504" s="95">
        <f t="shared" si="63"/>
        <v>-512545609.01059556</v>
      </c>
      <c r="Y504" s="95">
        <f t="shared" si="64"/>
        <v>-517409048.16402686</v>
      </c>
      <c r="Z504" s="1"/>
      <c r="AA504" s="1"/>
      <c r="AB504" s="1"/>
      <c r="AC504" s="1"/>
      <c r="AD504" s="1"/>
      <c r="AE504" s="1"/>
      <c r="AF504" s="1"/>
      <c r="AG504" s="1"/>
      <c r="AH504" s="1"/>
    </row>
    <row r="505" spans="8:34" x14ac:dyDescent="0.35"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>
        <f t="shared" si="60"/>
        <v>450</v>
      </c>
      <c r="V505" s="95">
        <f t="shared" si="61"/>
        <v>-517409048.16402686</v>
      </c>
      <c r="W505" s="95">
        <f t="shared" si="62"/>
        <v>930945.37625634403</v>
      </c>
      <c r="X505" s="95">
        <f t="shared" si="63"/>
        <v>-518339993.5402832</v>
      </c>
      <c r="Y505" s="95">
        <f t="shared" si="64"/>
        <v>-523258414.40870005</v>
      </c>
      <c r="Z505" s="1"/>
      <c r="AA505" s="1"/>
      <c r="AB505" s="1"/>
      <c r="AC505" s="1"/>
      <c r="AD505" s="1"/>
      <c r="AE505" s="1"/>
      <c r="AF505" s="1"/>
      <c r="AG505" s="1"/>
      <c r="AH505" s="1"/>
    </row>
    <row r="506" spans="8:34" x14ac:dyDescent="0.35"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>
        <f t="shared" ref="U506:U507" si="65">U505+1</f>
        <v>451</v>
      </c>
      <c r="V506" s="95">
        <f t="shared" ref="V506:V507" si="66">Y505</f>
        <v>-523258414.40870005</v>
      </c>
      <c r="W506" s="95">
        <f t="shared" ref="W506:W507" si="67">W505+W505*($F$15/12)</f>
        <v>934738.16295502742</v>
      </c>
      <c r="X506" s="95">
        <f t="shared" ref="X506:X507" si="68">V506-W506</f>
        <v>-524193152.57165509</v>
      </c>
      <c r="Y506" s="95">
        <f t="shared" ref="Y506:Y507" si="69">X506+(X506*($K$9/12))</f>
        <v>-529167112.85413384</v>
      </c>
      <c r="Z506" s="1"/>
      <c r="AA506" s="1"/>
      <c r="AB506" s="1"/>
      <c r="AC506" s="1"/>
      <c r="AD506" s="1"/>
      <c r="AE506" s="1"/>
      <c r="AF506" s="1"/>
      <c r="AG506" s="1"/>
      <c r="AH506" s="1"/>
    </row>
    <row r="507" spans="8:34" x14ac:dyDescent="0.35"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>
        <f t="shared" si="65"/>
        <v>452</v>
      </c>
      <c r="V507" s="95">
        <f t="shared" si="66"/>
        <v>-529167112.85413384</v>
      </c>
      <c r="W507" s="95">
        <f t="shared" si="67"/>
        <v>938546.40193620627</v>
      </c>
      <c r="X507" s="95">
        <f t="shared" si="68"/>
        <v>-530105659.25607008</v>
      </c>
      <c r="Y507" s="95">
        <f t="shared" si="69"/>
        <v>-535135722.09020156</v>
      </c>
      <c r="Z507" s="1"/>
      <c r="AA507" s="1"/>
      <c r="AB507" s="1"/>
      <c r="AC507" s="1"/>
      <c r="AD507" s="1"/>
      <c r="AE507" s="1"/>
      <c r="AF507" s="1"/>
      <c r="AG507" s="1"/>
      <c r="AH507" s="1"/>
    </row>
  </sheetData>
  <mergeCells count="16">
    <mergeCell ref="H38:I38"/>
    <mergeCell ref="H39:I39"/>
    <mergeCell ref="H42:I42"/>
    <mergeCell ref="H45:I45"/>
    <mergeCell ref="H48:I48"/>
    <mergeCell ref="B1:F2"/>
    <mergeCell ref="B14:B15"/>
    <mergeCell ref="C14:C15"/>
    <mergeCell ref="D53:G53"/>
    <mergeCell ref="C54:G54"/>
    <mergeCell ref="I53:M53"/>
    <mergeCell ref="O53:S53"/>
    <mergeCell ref="U53:Y53"/>
    <mergeCell ref="I54:M54"/>
    <mergeCell ref="O54:S54"/>
    <mergeCell ref="U54:Y54"/>
  </mergeCells>
  <pageMargins left="0.7" right="0.7" top="0.75" bottom="0.75" header="0.3" footer="0.3"/>
  <ignoredErrors>
    <ignoredError sqref="C9:G13 C39:G49 I9:K10 H19:K19 J56:Y507 G56:I56 G92:I128 H57:I91 G57:G91 C57:F91 D56:F56 H39:I48 C15:G31 D14:E14 G14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E7C3-A1C6-EF4E-935F-6E9C3B325CF3}">
  <dimension ref="B1:AH507"/>
  <sheetViews>
    <sheetView tabSelected="1" workbookViewId="0">
      <selection activeCell="I9" sqref="I9"/>
    </sheetView>
  </sheetViews>
  <sheetFormatPr defaultColWidth="11.54296875" defaultRowHeight="14.5" x14ac:dyDescent="0.35"/>
  <cols>
    <col min="2" max="2" width="20.36328125" bestFit="1" customWidth="1"/>
    <col min="3" max="3" width="22.453125" customWidth="1"/>
    <col min="4" max="4" width="18.453125" customWidth="1"/>
    <col min="5" max="5" width="16.36328125" customWidth="1"/>
    <col min="6" max="6" width="17.08984375" customWidth="1"/>
    <col min="7" max="7" width="13.6328125" bestFit="1" customWidth="1"/>
    <col min="8" max="8" width="14.08984375" customWidth="1"/>
    <col min="9" max="9" width="9.6328125" bestFit="1" customWidth="1"/>
    <col min="10" max="10" width="14.36328125" customWidth="1"/>
    <col min="11" max="11" width="16.36328125" customWidth="1"/>
    <col min="12" max="13" width="12" bestFit="1" customWidth="1"/>
    <col min="16" max="16" width="12" bestFit="1" customWidth="1"/>
    <col min="17" max="17" width="14.453125" bestFit="1" customWidth="1"/>
    <col min="18" max="19" width="12" bestFit="1" customWidth="1"/>
    <col min="22" max="22" width="13.453125" bestFit="1" customWidth="1"/>
    <col min="24" max="25" width="13.453125" bestFit="1" customWidth="1"/>
  </cols>
  <sheetData>
    <row r="1" spans="2:34" ht="31" x14ac:dyDescent="0.35">
      <c r="B1" s="114" t="s">
        <v>86</v>
      </c>
      <c r="C1" s="114"/>
      <c r="D1" s="114"/>
      <c r="E1" s="114"/>
      <c r="F1" s="114"/>
      <c r="G1" s="7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2:34" ht="31" x14ac:dyDescent="0.35">
      <c r="B2" s="114"/>
      <c r="C2" s="114"/>
      <c r="D2" s="114"/>
      <c r="E2" s="114"/>
      <c r="F2" s="114"/>
      <c r="G2" s="7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2:34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2:34" x14ac:dyDescent="0.35">
      <c r="B4" s="74" t="s">
        <v>87</v>
      </c>
      <c r="C4" s="1" t="s">
        <v>88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2:34" x14ac:dyDescent="0.35">
      <c r="B5" s="1"/>
      <c r="C5" s="1" t="s">
        <v>89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2:34" x14ac:dyDescent="0.35">
      <c r="B6" s="1"/>
      <c r="C6" s="1" t="s">
        <v>90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2:34" ht="15" thickBot="1" x14ac:dyDescent="0.4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2:34" ht="16" thickBot="1" x14ac:dyDescent="0.4">
      <c r="B8" s="75" t="s">
        <v>91</v>
      </c>
      <c r="C8" s="76">
        <v>0.06</v>
      </c>
      <c r="D8" s="76">
        <v>0.08</v>
      </c>
      <c r="E8" s="76">
        <v>0.1</v>
      </c>
      <c r="F8" s="76">
        <v>0.12</v>
      </c>
      <c r="G8" s="1"/>
      <c r="H8" s="1"/>
      <c r="I8" s="105">
        <v>0.08</v>
      </c>
      <c r="J8" s="22">
        <v>10</v>
      </c>
      <c r="K8" s="22">
        <v>12</v>
      </c>
      <c r="L8" s="2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2:34" ht="15" thickBot="1" x14ac:dyDescent="0.4">
      <c r="B9" s="77" t="s">
        <v>92</v>
      </c>
      <c r="C9" s="78">
        <f>((1+'[1]Bucket Strategy Tool'!J6)/(1+'[1]Bucket Strategy Tool'!$J$5))-1</f>
        <v>3.9603960396039639E-2</v>
      </c>
      <c r="D9" s="78">
        <f>((1+'[1]Bucket Strategy Tool'!J7)/(1+'[1]Bucket Strategy Tool'!$J$5))-1</f>
        <v>5.9405940594059459E-2</v>
      </c>
      <c r="E9" s="78">
        <f>((1+'[1]Bucket Strategy Tool'!J8)/(1+'[1]Bucket Strategy Tool'!$J$5))-1</f>
        <v>7.9207920792079278E-2</v>
      </c>
      <c r="F9" s="79">
        <f>((1+'[1]Bucket Strategy Tool'!J9)/(1+'[1]Bucket Strategy Tool'!$J$5))-1</f>
        <v>9.9009900990099098E-2</v>
      </c>
      <c r="G9" s="1"/>
      <c r="H9" s="106"/>
      <c r="I9" s="107">
        <f>NOMINAL(8%,12)</f>
        <v>7.7208361320041163E-2</v>
      </c>
      <c r="J9" s="107">
        <f>NOMINAL(10%,12)</f>
        <v>9.5689685146845171E-2</v>
      </c>
      <c r="K9" s="107">
        <f>NOMINAL(12%,12)</f>
        <v>0.11386551521499655</v>
      </c>
      <c r="L9" s="2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2:34" ht="15" thickBot="1" x14ac:dyDescent="0.4">
      <c r="B10" s="77" t="s">
        <v>93</v>
      </c>
      <c r="C10" s="78">
        <f>((1+'[1]Bucket Strategy Tool'!J6)/(1+'[1]Bucket Strategy Tool'!$J$5))-1</f>
        <v>3.9603960396039639E-2</v>
      </c>
      <c r="D10" s="78">
        <f>NOMINAL(D9,12)</f>
        <v>5.7847300735936358E-2</v>
      </c>
      <c r="E10" s="78">
        <f t="shared" ref="E10:F10" si="0">NOMINAL(E9,12)</f>
        <v>7.6469987652123983E-2</v>
      </c>
      <c r="F10" s="79">
        <f t="shared" si="0"/>
        <v>9.4782043193084142E-2</v>
      </c>
      <c r="G10" s="1"/>
      <c r="H10" s="1"/>
      <c r="I10" s="107">
        <f>I9/12</f>
        <v>6.4340301100034303E-3</v>
      </c>
      <c r="J10" s="22"/>
      <c r="K10" s="22"/>
      <c r="L10" s="2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2:34" ht="15" thickBot="1" x14ac:dyDescent="0.4">
      <c r="B11" s="77" t="s">
        <v>94</v>
      </c>
      <c r="C11" s="78">
        <f>NOMINAL(C8,12)</f>
        <v>5.8410606784116581E-2</v>
      </c>
      <c r="D11" s="78">
        <f t="shared" ref="D11:F11" si="1">NOMINAL(D8,12)</f>
        <v>7.7208361320041163E-2</v>
      </c>
      <c r="E11" s="78">
        <f t="shared" si="1"/>
        <v>9.5689685146845171E-2</v>
      </c>
      <c r="F11" s="79">
        <f t="shared" si="1"/>
        <v>0.11386551521499655</v>
      </c>
      <c r="G11" s="1"/>
      <c r="H11" s="1"/>
      <c r="I11" s="22"/>
      <c r="J11" s="22"/>
      <c r="K11" s="22"/>
      <c r="L11" s="2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2:34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2:34" ht="15" thickBot="1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2:34" x14ac:dyDescent="0.35">
      <c r="B14" s="115" t="s">
        <v>95</v>
      </c>
      <c r="C14" s="117">
        <f>'Bucket Strategy Tool'!E13</f>
        <v>150000</v>
      </c>
      <c r="D14" s="1"/>
      <c r="E14" s="80" t="s">
        <v>45</v>
      </c>
      <c r="F14" s="81">
        <v>1.0000000000000001E-9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2:34" ht="15" thickBot="1" x14ac:dyDescent="0.4">
      <c r="B15" s="116"/>
      <c r="C15" s="118"/>
      <c r="D15" s="1"/>
      <c r="E15" s="82" t="s">
        <v>96</v>
      </c>
      <c r="F15" s="83">
        <f>NOMINAL(F14,12)</f>
        <v>1.000000082740371E-9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2:34" ht="15" thickBot="1" x14ac:dyDescent="0.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2:34" x14ac:dyDescent="0.35">
      <c r="B17" s="84" t="s">
        <v>97</v>
      </c>
      <c r="C17" s="85"/>
      <c r="D17" s="84" t="s">
        <v>98</v>
      </c>
      <c r="E17" s="85"/>
      <c r="F17" s="84" t="s">
        <v>99</v>
      </c>
      <c r="G17" s="8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2:34" x14ac:dyDescent="0.35">
      <c r="B18" s="86" t="s">
        <v>100</v>
      </c>
      <c r="C18" s="87"/>
      <c r="D18" s="86" t="s">
        <v>100</v>
      </c>
      <c r="E18" s="87"/>
      <c r="F18" s="86" t="s">
        <v>100</v>
      </c>
      <c r="G18" s="8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2:34" x14ac:dyDescent="0.35">
      <c r="B19" s="86">
        <v>1</v>
      </c>
      <c r="C19" s="88">
        <f>C14</f>
        <v>150000</v>
      </c>
      <c r="D19" s="86">
        <v>1</v>
      </c>
      <c r="E19" s="88">
        <f>C19+(C19*$F$14)</f>
        <v>150000.00015000001</v>
      </c>
      <c r="F19" s="86">
        <v>1</v>
      </c>
      <c r="G19" s="88">
        <f>E19+(E19*$F$14)</f>
        <v>150000.00030000001</v>
      </c>
      <c r="H19" s="108">
        <f>G19+(G19*F14)</f>
        <v>150000.00045000002</v>
      </c>
      <c r="I19" s="108">
        <f>H19*1.07</f>
        <v>160500.00048150003</v>
      </c>
      <c r="J19" s="108">
        <f>I19*1.07</f>
        <v>171735.00051520503</v>
      </c>
      <c r="K19" s="1">
        <f>J19*(1.07)</f>
        <v>183756.4505512694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2:34" x14ac:dyDescent="0.35">
      <c r="B20" s="86">
        <v>2</v>
      </c>
      <c r="C20" s="88">
        <f>C19</f>
        <v>150000</v>
      </c>
      <c r="D20" s="86">
        <v>2</v>
      </c>
      <c r="E20" s="88">
        <f t="shared" ref="E20:E30" si="2">C20+(C20*$F$14)</f>
        <v>150000.00015000001</v>
      </c>
      <c r="F20" s="86">
        <v>2</v>
      </c>
      <c r="G20" s="88">
        <f>G19</f>
        <v>150000.00030000001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2:34" x14ac:dyDescent="0.35">
      <c r="B21" s="86">
        <v>3</v>
      </c>
      <c r="C21" s="88">
        <f t="shared" ref="C21:C30" si="3">C20</f>
        <v>150000</v>
      </c>
      <c r="D21" s="86">
        <v>3</v>
      </c>
      <c r="E21" s="88">
        <f t="shared" si="2"/>
        <v>150000.00015000001</v>
      </c>
      <c r="F21" s="86">
        <v>3</v>
      </c>
      <c r="G21" s="88">
        <f t="shared" ref="G21:G30" si="4">G20</f>
        <v>150000.00030000001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2:34" x14ac:dyDescent="0.35">
      <c r="B22" s="86">
        <v>4</v>
      </c>
      <c r="C22" s="88">
        <f t="shared" si="3"/>
        <v>150000</v>
      </c>
      <c r="D22" s="86">
        <v>4</v>
      </c>
      <c r="E22" s="88">
        <f t="shared" si="2"/>
        <v>150000.00015000001</v>
      </c>
      <c r="F22" s="86">
        <v>4</v>
      </c>
      <c r="G22" s="88">
        <f t="shared" si="4"/>
        <v>150000.00030000001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2:34" x14ac:dyDescent="0.35">
      <c r="B23" s="86">
        <v>5</v>
      </c>
      <c r="C23" s="88">
        <f t="shared" si="3"/>
        <v>150000</v>
      </c>
      <c r="D23" s="86">
        <v>5</v>
      </c>
      <c r="E23" s="88">
        <f t="shared" si="2"/>
        <v>150000.00015000001</v>
      </c>
      <c r="F23" s="86">
        <v>5</v>
      </c>
      <c r="G23" s="88">
        <f t="shared" si="4"/>
        <v>150000.00030000001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2:34" x14ac:dyDescent="0.35">
      <c r="B24" s="86">
        <v>6</v>
      </c>
      <c r="C24" s="88">
        <f t="shared" si="3"/>
        <v>150000</v>
      </c>
      <c r="D24" s="86">
        <v>6</v>
      </c>
      <c r="E24" s="88">
        <f t="shared" si="2"/>
        <v>150000.00015000001</v>
      </c>
      <c r="F24" s="86">
        <v>6</v>
      </c>
      <c r="G24" s="88">
        <f t="shared" si="4"/>
        <v>150000.00030000001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2:34" x14ac:dyDescent="0.35">
      <c r="B25" s="86">
        <v>7</v>
      </c>
      <c r="C25" s="88">
        <f t="shared" si="3"/>
        <v>150000</v>
      </c>
      <c r="D25" s="86">
        <v>7</v>
      </c>
      <c r="E25" s="88">
        <f t="shared" si="2"/>
        <v>150000.00015000001</v>
      </c>
      <c r="F25" s="86">
        <v>7</v>
      </c>
      <c r="G25" s="88">
        <f t="shared" si="4"/>
        <v>150000.00030000001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2:34" x14ac:dyDescent="0.35">
      <c r="B26" s="86">
        <v>8</v>
      </c>
      <c r="C26" s="88">
        <f t="shared" si="3"/>
        <v>150000</v>
      </c>
      <c r="D26" s="86">
        <v>8</v>
      </c>
      <c r="E26" s="88">
        <f t="shared" si="2"/>
        <v>150000.00015000001</v>
      </c>
      <c r="F26" s="86">
        <v>8</v>
      </c>
      <c r="G26" s="88">
        <f t="shared" si="4"/>
        <v>150000.00030000001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2:34" x14ac:dyDescent="0.35">
      <c r="B27" s="86">
        <v>9</v>
      </c>
      <c r="C27" s="88">
        <f t="shared" si="3"/>
        <v>150000</v>
      </c>
      <c r="D27" s="86">
        <v>9</v>
      </c>
      <c r="E27" s="88">
        <f t="shared" si="2"/>
        <v>150000.00015000001</v>
      </c>
      <c r="F27" s="86">
        <v>9</v>
      </c>
      <c r="G27" s="88">
        <f t="shared" si="4"/>
        <v>150000.00030000001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2:34" x14ac:dyDescent="0.35">
      <c r="B28" s="86">
        <v>10</v>
      </c>
      <c r="C28" s="88">
        <f t="shared" si="3"/>
        <v>150000</v>
      </c>
      <c r="D28" s="86">
        <v>10</v>
      </c>
      <c r="E28" s="88">
        <f t="shared" si="2"/>
        <v>150000.00015000001</v>
      </c>
      <c r="F28" s="86">
        <v>10</v>
      </c>
      <c r="G28" s="88">
        <f t="shared" si="4"/>
        <v>150000.00030000001</v>
      </c>
      <c r="H28" s="1"/>
      <c r="I28" s="40"/>
      <c r="J28" s="1"/>
      <c r="K28" s="40"/>
      <c r="L28" s="1"/>
      <c r="M28" s="40"/>
      <c r="N28" s="1"/>
      <c r="O28" s="1"/>
      <c r="P28" s="40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2:34" x14ac:dyDescent="0.35">
      <c r="B29" s="86">
        <v>11</v>
      </c>
      <c r="C29" s="88">
        <f t="shared" si="3"/>
        <v>150000</v>
      </c>
      <c r="D29" s="86">
        <v>11</v>
      </c>
      <c r="E29" s="88">
        <f t="shared" si="2"/>
        <v>150000.00015000001</v>
      </c>
      <c r="F29" s="86">
        <v>11</v>
      </c>
      <c r="G29" s="88">
        <f t="shared" si="4"/>
        <v>150000.00030000001</v>
      </c>
      <c r="H29" s="1"/>
      <c r="I29" s="40"/>
      <c r="J29" s="1"/>
      <c r="K29" s="40"/>
      <c r="L29" s="1"/>
      <c r="M29" s="40"/>
      <c r="N29" s="1"/>
      <c r="O29" s="1"/>
      <c r="P29" s="40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2:34" ht="15" thickBot="1" x14ac:dyDescent="0.4">
      <c r="B30" s="89">
        <v>12</v>
      </c>
      <c r="C30" s="90">
        <f t="shared" si="3"/>
        <v>150000</v>
      </c>
      <c r="D30" s="89">
        <v>12</v>
      </c>
      <c r="E30" s="90">
        <f t="shared" si="2"/>
        <v>150000.00015000001</v>
      </c>
      <c r="F30" s="89">
        <v>12</v>
      </c>
      <c r="G30" s="90">
        <f t="shared" si="4"/>
        <v>150000.00030000001</v>
      </c>
      <c r="H30" s="1"/>
      <c r="I30" s="40"/>
      <c r="J30" s="1"/>
      <c r="K30" s="40"/>
      <c r="L30" s="1"/>
      <c r="M30" s="40"/>
      <c r="N30" s="1"/>
      <c r="O30" s="1"/>
      <c r="P30" s="40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2:34" ht="15" thickBot="1" x14ac:dyDescent="0.4">
      <c r="B31" s="1"/>
      <c r="C31" s="91">
        <f>SUM(C19:C30)</f>
        <v>1800000</v>
      </c>
      <c r="D31" s="11"/>
      <c r="E31" s="91">
        <f>SUM(E19:E30)</f>
        <v>1800000.0018</v>
      </c>
      <c r="F31" s="11"/>
      <c r="G31" s="91">
        <f>SUM(G19:G30)</f>
        <v>1800000.0035999997</v>
      </c>
      <c r="H31" s="1"/>
      <c r="I31" s="40"/>
      <c r="J31" s="1"/>
      <c r="K31" s="40"/>
      <c r="L31" s="1"/>
      <c r="M31" s="40"/>
      <c r="N31" s="1"/>
      <c r="O31" s="1"/>
      <c r="P31" s="40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2:34" x14ac:dyDescent="0.35">
      <c r="B32" s="1"/>
      <c r="C32" s="1"/>
      <c r="D32" s="1"/>
      <c r="E32" s="1"/>
      <c r="F32" s="1"/>
      <c r="G32" s="1"/>
      <c r="H32" s="1"/>
      <c r="I32" s="40"/>
      <c r="J32" s="1"/>
      <c r="K32" s="40"/>
      <c r="L32" s="1"/>
      <c r="M32" s="40"/>
      <c r="N32" s="1"/>
      <c r="O32" s="1"/>
      <c r="P32" s="40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2:34" x14ac:dyDescent="0.35">
      <c r="B33" s="1"/>
      <c r="C33" s="1"/>
      <c r="D33" s="1"/>
      <c r="E33" s="40"/>
      <c r="F33" s="1"/>
      <c r="G33" s="40"/>
      <c r="H33" s="1"/>
      <c r="I33" s="40"/>
      <c r="J33" s="1"/>
      <c r="K33" s="40"/>
      <c r="L33" s="1"/>
      <c r="M33" s="40"/>
      <c r="N33" s="1"/>
      <c r="O33" s="1"/>
      <c r="P33" s="40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2:34" x14ac:dyDescent="0.35">
      <c r="B34" s="1"/>
      <c r="C34" s="1"/>
      <c r="D34" s="1"/>
      <c r="E34" s="40"/>
      <c r="F34" s="1"/>
      <c r="G34" s="40"/>
      <c r="H34" s="1"/>
      <c r="I34" s="40"/>
      <c r="J34" s="1"/>
      <c r="K34" s="40"/>
      <c r="L34" s="1"/>
      <c r="M34" s="40"/>
      <c r="N34" s="1"/>
      <c r="O34" s="1"/>
      <c r="P34" s="40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2:34" x14ac:dyDescent="0.35">
      <c r="B35" s="1"/>
      <c r="C35" s="1"/>
      <c r="D35" s="1"/>
      <c r="E35" s="40"/>
      <c r="F35" s="1"/>
      <c r="G35" s="40"/>
      <c r="H35" s="1"/>
      <c r="I35" s="40"/>
      <c r="J35" s="1"/>
      <c r="K35" s="40"/>
      <c r="L35" s="1"/>
      <c r="M35" s="40"/>
      <c r="N35" s="1"/>
      <c r="O35" s="1"/>
      <c r="P35" s="40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2:34" x14ac:dyDescent="0.35">
      <c r="B36" s="1"/>
      <c r="C36" s="1"/>
      <c r="D36" s="1"/>
      <c r="E36" s="40"/>
      <c r="F36" s="1"/>
      <c r="G36" s="40"/>
      <c r="H36" s="1"/>
      <c r="I36" s="40"/>
      <c r="J36" s="1"/>
      <c r="K36" s="40"/>
      <c r="L36" s="1"/>
      <c r="M36" s="40"/>
      <c r="N36" s="1"/>
      <c r="O36" s="1"/>
      <c r="P36" s="40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2:34" x14ac:dyDescent="0.35">
      <c r="B37" s="1"/>
      <c r="C37" s="1"/>
      <c r="D37" s="1"/>
      <c r="E37" s="1"/>
      <c r="F37" s="1"/>
      <c r="G37" s="1"/>
      <c r="H37" s="1"/>
      <c r="I37" s="1"/>
      <c r="J37" s="40"/>
      <c r="K37" s="1"/>
      <c r="L37" s="40"/>
      <c r="M37" s="1"/>
      <c r="N37" s="40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2:34" ht="29" x14ac:dyDescent="0.35">
      <c r="B38" s="1"/>
      <c r="C38" s="92" t="s">
        <v>76</v>
      </c>
      <c r="D38" s="92" t="s">
        <v>77</v>
      </c>
      <c r="E38" s="92" t="s">
        <v>78</v>
      </c>
      <c r="F38" s="92" t="s">
        <v>79</v>
      </c>
      <c r="G38" s="74"/>
      <c r="H38" s="119" t="s">
        <v>113</v>
      </c>
      <c r="I38" s="1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2:34" x14ac:dyDescent="0.35">
      <c r="B39" s="93" t="s">
        <v>101</v>
      </c>
      <c r="C39" s="94">
        <f>PV(C10/12,36,-$C$14,,)</f>
        <v>5083647.9319094941</v>
      </c>
      <c r="D39" s="95">
        <f>PV(C10/12,72,-$C$14,,)</f>
        <v>9598682.5239816327</v>
      </c>
      <c r="E39" s="95">
        <f>PV(C10/12,120,-$C$14,,)</f>
        <v>14843104.919573128</v>
      </c>
      <c r="F39" s="95">
        <f>PV(C10/12,('[1]Bucket Strategy Tool'!E9*12),-$C$14,,)</f>
        <v>31569981.363617826</v>
      </c>
      <c r="G39" s="95"/>
      <c r="H39" s="113">
        <f>PV(C10/12,'[1]Bucket Strategy Tool'!E9*12,-$C$14,,)</f>
        <v>31569981.363617826</v>
      </c>
      <c r="I39" s="11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2:34" x14ac:dyDescent="0.35">
      <c r="B40" s="93"/>
      <c r="C40" s="95"/>
      <c r="D40" s="95"/>
      <c r="E40" s="95"/>
      <c r="F40" s="95"/>
      <c r="G40" s="95"/>
      <c r="H40" s="9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2:34" x14ac:dyDescent="0.35">
      <c r="B41" s="93"/>
      <c r="C41" s="95"/>
      <c r="D41" s="95"/>
      <c r="E41" s="95"/>
      <c r="F41" s="95"/>
      <c r="G41" s="95"/>
      <c r="H41" s="9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2:34" x14ac:dyDescent="0.35">
      <c r="B42" s="93" t="s">
        <v>102</v>
      </c>
      <c r="C42" s="96">
        <f>PV($D$10/12,36,-$C$14,,1)</f>
        <v>4970341.5431685019</v>
      </c>
      <c r="D42" s="97">
        <f>PV($D$10/12,72,-$C$14,,1)</f>
        <v>9150560.4108066577</v>
      </c>
      <c r="E42" s="95">
        <f>PV($D$10/12,120,-$C$14,,0)</f>
        <v>13643489.220876755</v>
      </c>
      <c r="F42" s="95">
        <f>PV([1]Workings!$D$10/12,('[1]Bucket Strategy Tool'!E9*12),-$C$14,,0)</f>
        <v>25606839.622488771</v>
      </c>
      <c r="G42" s="95"/>
      <c r="H42" s="113">
        <f>PV(D10/12,'[1]Bucket Strategy Tool'!E9*12,-[1]Workings!$C$14,,)</f>
        <v>25606839.622488771</v>
      </c>
      <c r="I42" s="11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2:34" x14ac:dyDescent="0.35">
      <c r="B43" s="93"/>
      <c r="C43" s="98"/>
      <c r="D43" s="99">
        <f>D42-C42</f>
        <v>4180218.8676381558</v>
      </c>
      <c r="E43" s="100">
        <f>K52</f>
        <v>4313135.5318761561</v>
      </c>
      <c r="F43" s="100" t="s">
        <v>103</v>
      </c>
      <c r="G43" s="95"/>
      <c r="H43" s="95"/>
      <c r="I43" s="4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2:34" x14ac:dyDescent="0.35">
      <c r="B44" s="93"/>
      <c r="C44" s="95"/>
      <c r="D44" s="95"/>
      <c r="E44" s="95"/>
      <c r="F44" s="95"/>
      <c r="G44" s="95"/>
      <c r="H44" s="95"/>
      <c r="I44" s="4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2:34" x14ac:dyDescent="0.35">
      <c r="B45" s="93" t="s">
        <v>104</v>
      </c>
      <c r="C45" s="96">
        <f>PV($E$10/12,36,-$C$14,,1)</f>
        <v>4842399.6572410371</v>
      </c>
      <c r="D45" s="101">
        <f>PV($E$10/12,72,-$C$14,,1)</f>
        <v>8694922.8125179522</v>
      </c>
      <c r="E45" s="97">
        <f>PV($E$10/12,120,-$C$14,,1)</f>
        <v>12635421.579502311</v>
      </c>
      <c r="F45" s="95">
        <f>PV($E$10/12,('[1]Bucket Strategy Tool'!E9*12),-$C$14)</f>
        <v>21147381.113973722</v>
      </c>
      <c r="G45" s="95"/>
      <c r="H45" s="113">
        <f>PV(E10/12,'[1]Bucket Strategy Tool'!E9*12,-[1]Workings!$C$14,,)</f>
        <v>21147381.113973722</v>
      </c>
      <c r="I45" s="11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2:34" x14ac:dyDescent="0.35">
      <c r="B46" s="93"/>
      <c r="C46" s="98"/>
      <c r="D46" s="102"/>
      <c r="E46" s="99">
        <f>E45-D45</f>
        <v>3940498.7669843584</v>
      </c>
      <c r="F46" s="100">
        <f>Q52</f>
        <v>4377496.7082947111</v>
      </c>
      <c r="G46" s="100" t="s">
        <v>105</v>
      </c>
      <c r="H46" s="95"/>
      <c r="I46" s="4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2:34" x14ac:dyDescent="0.35">
      <c r="B47" s="93"/>
      <c r="C47" s="95"/>
      <c r="D47" s="95"/>
      <c r="E47" s="95"/>
      <c r="F47" s="95"/>
      <c r="G47" s="95"/>
      <c r="H47" s="95"/>
      <c r="I47" s="4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2:34" x14ac:dyDescent="0.35">
      <c r="B48" s="93" t="s">
        <v>106</v>
      </c>
      <c r="C48" s="96">
        <f>PV($F$10/12,36,-$C$14,,1)</f>
        <v>4721165.9803139484</v>
      </c>
      <c r="D48" s="101">
        <f>PV($F$10/12,72,-$C$14,,1)</f>
        <v>8277843.2058838876</v>
      </c>
      <c r="E48" s="101">
        <f>PV($F$10/12,120,-$C$14,,1)</f>
        <v>11694524.806820981</v>
      </c>
      <c r="F48" s="97">
        <f>PV($F$10/12,('[1]Bucket Strategy Tool'!E9*12),-$C$14,,1)</f>
        <v>18013961.900113452</v>
      </c>
      <c r="G48" s="95"/>
      <c r="H48" s="113">
        <f>PV(F10/12,'[1]Bucket Strategy Tool'!E9*12,-$C$14,,)</f>
        <v>17872793.575723842</v>
      </c>
      <c r="I48" s="11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2:34" x14ac:dyDescent="0.35">
      <c r="B49" s="1"/>
      <c r="C49" s="98"/>
      <c r="D49" s="102"/>
      <c r="E49" s="102"/>
      <c r="F49" s="99">
        <f>F48-E48</f>
        <v>6319437.093292471</v>
      </c>
      <c r="G49" s="100">
        <f>W52</f>
        <v>7193927.7853791844</v>
      </c>
      <c r="H49" s="100" t="s">
        <v>114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2:34" x14ac:dyDescent="0.35">
      <c r="B50" s="1"/>
      <c r="C50" s="95"/>
      <c r="D50" s="95"/>
      <c r="E50" s="95"/>
      <c r="F50" s="95"/>
      <c r="G50" s="95"/>
      <c r="H50" s="9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2:34" x14ac:dyDescent="0.35">
      <c r="B51" s="1"/>
      <c r="C51" s="1"/>
      <c r="D51" s="95"/>
      <c r="E51" s="95"/>
      <c r="F51" s="95"/>
      <c r="G51" s="95"/>
      <c r="H51" s="95"/>
      <c r="I51" s="95"/>
      <c r="J51" s="100">
        <f>J92</f>
        <v>5433308.5871307738</v>
      </c>
      <c r="K51" s="100" t="s">
        <v>115</v>
      </c>
      <c r="L51" s="11" t="s">
        <v>116</v>
      </c>
      <c r="M51" s="33">
        <v>0.08</v>
      </c>
      <c r="N51" s="1"/>
      <c r="O51" s="1"/>
      <c r="P51" s="100">
        <f>P128</f>
        <v>7755002.4460433023</v>
      </c>
      <c r="Q51" s="100" t="s">
        <v>117</v>
      </c>
      <c r="R51" s="11" t="s">
        <v>116</v>
      </c>
      <c r="S51" s="33">
        <v>0.1</v>
      </c>
      <c r="T51" s="1"/>
      <c r="U51" s="1"/>
      <c r="V51" s="100">
        <f>V176</f>
        <v>22343247.72317785</v>
      </c>
      <c r="W51" s="100" t="s">
        <v>118</v>
      </c>
      <c r="X51" s="11" t="s">
        <v>116</v>
      </c>
      <c r="Y51" s="33">
        <v>0.1</v>
      </c>
      <c r="Z51" s="1"/>
      <c r="AA51" s="1"/>
      <c r="AB51" s="1"/>
      <c r="AC51" s="1"/>
      <c r="AD51" s="1"/>
      <c r="AE51" s="1"/>
      <c r="AF51" s="1"/>
      <c r="AG51" s="1"/>
      <c r="AH51" s="1"/>
    </row>
    <row r="52" spans="2:34" x14ac:dyDescent="0.35">
      <c r="B52" s="1"/>
      <c r="C52" s="1"/>
      <c r="D52" s="1"/>
      <c r="E52" s="1"/>
      <c r="F52" s="1"/>
      <c r="G52" s="1"/>
      <c r="H52" s="1"/>
      <c r="I52" s="1"/>
      <c r="J52" s="26" t="s">
        <v>119</v>
      </c>
      <c r="K52" s="40">
        <f>PV(D11/12,36,,-J92)</f>
        <v>4313135.5318761561</v>
      </c>
      <c r="L52" s="11" t="s">
        <v>120</v>
      </c>
      <c r="M52" s="11" t="s">
        <v>121</v>
      </c>
      <c r="N52" s="40"/>
      <c r="O52" s="1"/>
      <c r="P52" s="1" t="s">
        <v>119</v>
      </c>
      <c r="Q52" s="40">
        <f>PV(J9/12,72,,-P128)</f>
        <v>4377496.7082947111</v>
      </c>
      <c r="R52" s="11" t="s">
        <v>120</v>
      </c>
      <c r="S52" s="11" t="s">
        <v>122</v>
      </c>
      <c r="T52" s="1"/>
      <c r="U52" s="1"/>
      <c r="V52" s="1" t="s">
        <v>119</v>
      </c>
      <c r="W52" s="95">
        <f>PV(K9/12,120,,-V176)</f>
        <v>7193927.7853791844</v>
      </c>
      <c r="X52" s="11" t="s">
        <v>120</v>
      </c>
      <c r="Y52" s="11" t="s">
        <v>123</v>
      </c>
      <c r="Z52" s="1"/>
      <c r="AA52" s="1"/>
      <c r="AB52" s="1"/>
      <c r="AC52" s="1"/>
      <c r="AD52" s="1"/>
      <c r="AE52" s="1"/>
      <c r="AF52" s="1"/>
      <c r="AG52" s="1"/>
      <c r="AH52" s="1"/>
    </row>
    <row r="53" spans="2:34" x14ac:dyDescent="0.35">
      <c r="B53" s="1"/>
      <c r="C53" s="1"/>
      <c r="D53" s="121" t="s">
        <v>107</v>
      </c>
      <c r="E53" s="121"/>
      <c r="F53" s="121"/>
      <c r="G53" s="121"/>
      <c r="H53" s="1"/>
      <c r="I53" s="121" t="s">
        <v>124</v>
      </c>
      <c r="J53" s="121"/>
      <c r="K53" s="121"/>
      <c r="L53" s="121"/>
      <c r="M53" s="121"/>
      <c r="N53" s="1"/>
      <c r="O53" s="121" t="s">
        <v>125</v>
      </c>
      <c r="P53" s="121"/>
      <c r="Q53" s="121"/>
      <c r="R53" s="121"/>
      <c r="S53" s="121"/>
      <c r="T53" s="1"/>
      <c r="U53" s="121" t="s">
        <v>126</v>
      </c>
      <c r="V53" s="121"/>
      <c r="W53" s="121"/>
      <c r="X53" s="121"/>
      <c r="Y53" s="121"/>
      <c r="Z53" s="1"/>
      <c r="AA53" s="1"/>
      <c r="AB53" s="1"/>
      <c r="AC53" s="1"/>
      <c r="AD53" s="1"/>
      <c r="AE53" s="1"/>
      <c r="AF53" s="1"/>
      <c r="AG53" s="1"/>
      <c r="AH53" s="1"/>
    </row>
    <row r="54" spans="2:34" x14ac:dyDescent="0.35">
      <c r="B54" s="1"/>
      <c r="C54" s="120" t="s">
        <v>108</v>
      </c>
      <c r="D54" s="120"/>
      <c r="E54" s="120"/>
      <c r="F54" s="120"/>
      <c r="G54" s="120"/>
      <c r="H54" s="1"/>
      <c r="I54" s="120" t="s">
        <v>108</v>
      </c>
      <c r="J54" s="120"/>
      <c r="K54" s="120"/>
      <c r="L54" s="120"/>
      <c r="M54" s="120"/>
      <c r="N54" s="1"/>
      <c r="O54" s="120" t="s">
        <v>108</v>
      </c>
      <c r="P54" s="120"/>
      <c r="Q54" s="120"/>
      <c r="R54" s="120"/>
      <c r="S54" s="120"/>
      <c r="T54" s="1"/>
      <c r="U54" s="120" t="s">
        <v>108</v>
      </c>
      <c r="V54" s="120"/>
      <c r="W54" s="120"/>
      <c r="X54" s="120"/>
      <c r="Y54" s="120"/>
      <c r="Z54" s="1"/>
      <c r="AA54" s="1"/>
      <c r="AB54" s="1"/>
      <c r="AC54" s="1"/>
      <c r="AD54" s="1"/>
      <c r="AE54" s="1"/>
      <c r="AF54" s="1"/>
      <c r="AG54" s="1"/>
      <c r="AH54" s="1"/>
    </row>
    <row r="55" spans="2:34" ht="58" x14ac:dyDescent="0.35">
      <c r="B55" s="1"/>
      <c r="C55" s="10" t="s">
        <v>100</v>
      </c>
      <c r="D55" s="10" t="s">
        <v>109</v>
      </c>
      <c r="E55" s="10" t="s">
        <v>110</v>
      </c>
      <c r="F55" s="10" t="s">
        <v>111</v>
      </c>
      <c r="G55" s="10" t="s">
        <v>112</v>
      </c>
      <c r="H55" s="1"/>
      <c r="I55" s="10" t="s">
        <v>100</v>
      </c>
      <c r="J55" s="10" t="s">
        <v>109</v>
      </c>
      <c r="K55" s="10" t="s">
        <v>110</v>
      </c>
      <c r="L55" s="10" t="s">
        <v>111</v>
      </c>
      <c r="M55" s="10" t="s">
        <v>127</v>
      </c>
      <c r="N55" s="1"/>
      <c r="O55" s="10" t="s">
        <v>100</v>
      </c>
      <c r="P55" s="10" t="s">
        <v>109</v>
      </c>
      <c r="Q55" s="10" t="s">
        <v>110</v>
      </c>
      <c r="R55" s="10" t="s">
        <v>111</v>
      </c>
      <c r="S55" s="10" t="s">
        <v>128</v>
      </c>
      <c r="T55" s="1"/>
      <c r="U55" s="10" t="s">
        <v>100</v>
      </c>
      <c r="V55" s="10" t="s">
        <v>109</v>
      </c>
      <c r="W55" s="10" t="s">
        <v>110</v>
      </c>
      <c r="X55" s="10" t="s">
        <v>111</v>
      </c>
      <c r="Y55" s="10" t="s">
        <v>129</v>
      </c>
      <c r="Z55" s="1"/>
      <c r="AA55" s="1"/>
      <c r="AB55" s="1"/>
      <c r="AC55" s="1"/>
      <c r="AD55" s="1"/>
      <c r="AE55" s="1"/>
      <c r="AF55" s="1"/>
      <c r="AG55" s="1"/>
      <c r="AH55" s="1"/>
    </row>
    <row r="56" spans="2:34" x14ac:dyDescent="0.35">
      <c r="B56" s="1"/>
      <c r="C56" s="1">
        <v>1</v>
      </c>
      <c r="D56" s="103">
        <f>C39</f>
        <v>5083647.9319094941</v>
      </c>
      <c r="E56" s="104">
        <f>C14</f>
        <v>150000</v>
      </c>
      <c r="F56" s="40">
        <f>D56-E56</f>
        <v>4933647.9319094941</v>
      </c>
      <c r="G56" s="40">
        <f t="shared" ref="G56:G91" si="5">F56+(F56*($F$15/12))</f>
        <v>4933647.9323206311</v>
      </c>
      <c r="H56" s="1"/>
      <c r="I56" s="1">
        <v>1</v>
      </c>
      <c r="J56" s="95">
        <f>D42</f>
        <v>9150560.4108066577</v>
      </c>
      <c r="K56" s="95">
        <f>C14</f>
        <v>150000</v>
      </c>
      <c r="L56" s="95">
        <f>J56-K56</f>
        <v>9000560.4108066577</v>
      </c>
      <c r="M56" s="95">
        <f>L56+(L56*($I$9/12))</f>
        <v>9058470.2874966934</v>
      </c>
      <c r="N56" s="1"/>
      <c r="O56" s="1">
        <v>1</v>
      </c>
      <c r="P56" s="95">
        <f>E45</f>
        <v>12635421.579502311</v>
      </c>
      <c r="Q56" s="95">
        <f>E56</f>
        <v>150000</v>
      </c>
      <c r="R56" s="95">
        <f>P56-Q56</f>
        <v>12485421.579502311</v>
      </c>
      <c r="S56" s="95">
        <f>R56+(R56*($J$9/12))</f>
        <v>12584982.084491327</v>
      </c>
      <c r="T56" s="1"/>
      <c r="U56" s="1">
        <v>1</v>
      </c>
      <c r="V56" s="95">
        <f>F48</f>
        <v>18013961.900113452</v>
      </c>
      <c r="W56" s="95">
        <f>C14</f>
        <v>150000</v>
      </c>
      <c r="X56" s="95">
        <f>V56-W56</f>
        <v>17863961.900113452</v>
      </c>
      <c r="Y56" s="95">
        <f>X56+(X56*($K$9/12))</f>
        <v>18033469.33557491</v>
      </c>
      <c r="Z56" s="1"/>
      <c r="AA56" s="1"/>
      <c r="AB56" s="1"/>
      <c r="AC56" s="1"/>
      <c r="AD56" s="1"/>
      <c r="AE56" s="1"/>
      <c r="AF56" s="1"/>
      <c r="AG56" s="1"/>
      <c r="AH56" s="1"/>
    </row>
    <row r="57" spans="2:34" x14ac:dyDescent="0.35">
      <c r="B57" s="1"/>
      <c r="C57" s="1">
        <f>C56+1</f>
        <v>2</v>
      </c>
      <c r="D57" s="40">
        <f>G56</f>
        <v>4933647.9323206311</v>
      </c>
      <c r="E57" s="104">
        <f t="shared" ref="E57:E91" si="6">E56+(E56*$F$15/12)</f>
        <v>150000.00001250001</v>
      </c>
      <c r="F57" s="40">
        <f>D57-E57</f>
        <v>4783647.9323081309</v>
      </c>
      <c r="G57" s="40">
        <f t="shared" si="5"/>
        <v>4783647.9327067686</v>
      </c>
      <c r="H57" s="1"/>
      <c r="I57" s="1">
        <f>I56+1</f>
        <v>2</v>
      </c>
      <c r="J57" s="95">
        <f>M56</f>
        <v>9058470.2874966934</v>
      </c>
      <c r="K57" s="95">
        <f>K56+K56*($F$15/12)</f>
        <v>150000.00001250001</v>
      </c>
      <c r="L57" s="95">
        <f t="shared" ref="L57:L120" si="7">J57-K57</f>
        <v>8908470.2874841932</v>
      </c>
      <c r="M57" s="95">
        <f t="shared" ref="M57:M120" si="8">L57+(L57*($I$9/12))</f>
        <v>8965787.6535479371</v>
      </c>
      <c r="N57" s="1"/>
      <c r="O57" s="1">
        <f>O56+1</f>
        <v>2</v>
      </c>
      <c r="P57" s="95">
        <f>S56</f>
        <v>12584982.084491327</v>
      </c>
      <c r="Q57" s="95">
        <f>Q56+Q56*($F$15/12)</f>
        <v>150000.00001250001</v>
      </c>
      <c r="R57" s="95">
        <f>P57-Q57</f>
        <v>12434982.084478827</v>
      </c>
      <c r="S57" s="95">
        <f>R57+(R57*($J$9/12))</f>
        <v>12534140.377851363</v>
      </c>
      <c r="T57" s="1"/>
      <c r="U57" s="1">
        <f>U56+1</f>
        <v>2</v>
      </c>
      <c r="V57" s="95">
        <f>Y56</f>
        <v>18033469.33557491</v>
      </c>
      <c r="W57" s="95">
        <f>W56+W56*($F$15/12)</f>
        <v>150000.00001250001</v>
      </c>
      <c r="X57" s="95">
        <f>V57-W57</f>
        <v>17883469.335562412</v>
      </c>
      <c r="Y57" s="95">
        <f>X57+(X57*($K$9/12))</f>
        <v>18053161.873039529</v>
      </c>
      <c r="Z57" s="1"/>
      <c r="AA57" s="1"/>
      <c r="AB57" s="1"/>
      <c r="AC57" s="1"/>
      <c r="AD57" s="1"/>
      <c r="AE57" s="1"/>
      <c r="AF57" s="1"/>
      <c r="AG57" s="1"/>
      <c r="AH57" s="1"/>
    </row>
    <row r="58" spans="2:34" x14ac:dyDescent="0.35">
      <c r="B58" s="1"/>
      <c r="C58" s="1">
        <f t="shared" ref="C58:C91" si="9">C57+1</f>
        <v>3</v>
      </c>
      <c r="D58" s="40">
        <f t="shared" ref="D58:D91" si="10">G57</f>
        <v>4783647.9327067686</v>
      </c>
      <c r="E58" s="104">
        <f t="shared" si="6"/>
        <v>150000.00002500002</v>
      </c>
      <c r="F58" s="40">
        <f>D58-E58</f>
        <v>4633647.9326817682</v>
      </c>
      <c r="G58" s="40">
        <f t="shared" si="5"/>
        <v>4633647.9330679057</v>
      </c>
      <c r="H58" s="1"/>
      <c r="I58" s="1">
        <f t="shared" ref="I58:I121" si="11">I57+1</f>
        <v>3</v>
      </c>
      <c r="J58" s="95">
        <f t="shared" ref="J58:J121" si="12">M57</f>
        <v>8965787.6535479371</v>
      </c>
      <c r="K58" s="95">
        <f t="shared" ref="K58:K121" si="13">K57+K57*($F$15/12)</f>
        <v>150000.00002500002</v>
      </c>
      <c r="L58" s="95">
        <f t="shared" si="7"/>
        <v>8815787.6535229366</v>
      </c>
      <c r="M58" s="95">
        <f t="shared" si="8"/>
        <v>8872508.6967290994</v>
      </c>
      <c r="N58" s="1"/>
      <c r="O58" s="1">
        <f t="shared" ref="O58:O121" si="14">O57+1</f>
        <v>3</v>
      </c>
      <c r="P58" s="95">
        <f t="shared" ref="P58:P121" si="15">S57</f>
        <v>12534140.377851363</v>
      </c>
      <c r="Q58" s="95">
        <f t="shared" ref="Q58:Q121" si="16">Q57+Q57*($F$15/12)</f>
        <v>150000.00002500002</v>
      </c>
      <c r="R58" s="95">
        <f t="shared" ref="R58:R121" si="17">P58-Q58</f>
        <v>12384140.377826363</v>
      </c>
      <c r="S58" s="95">
        <f t="shared" ref="S58:S121" si="18">R58+(R58*($J$9/12))</f>
        <v>12482893.252290407</v>
      </c>
      <c r="T58" s="1"/>
      <c r="U58" s="1">
        <f t="shared" ref="U58:U121" si="19">U57+1</f>
        <v>3</v>
      </c>
      <c r="V58" s="95">
        <f t="shared" ref="V58:V121" si="20">Y57</f>
        <v>18053161.873039529</v>
      </c>
      <c r="W58" s="95">
        <f t="shared" ref="W58:W121" si="21">W57+W57*($F$15/12)</f>
        <v>150000.00002500002</v>
      </c>
      <c r="X58" s="95">
        <f t="shared" ref="X58:X121" si="22">V58-W58</f>
        <v>17903161.873014528</v>
      </c>
      <c r="Y58" s="95">
        <f t="shared" ref="Y58:Y121" si="23">X58+(X58*($K$9/12))</f>
        <v>18073041.268901885</v>
      </c>
      <c r="Z58" s="1"/>
      <c r="AA58" s="1"/>
      <c r="AB58" s="1"/>
      <c r="AC58" s="1"/>
      <c r="AD58" s="1"/>
      <c r="AE58" s="1"/>
      <c r="AF58" s="1"/>
      <c r="AG58" s="1"/>
      <c r="AH58" s="1"/>
    </row>
    <row r="59" spans="2:34" x14ac:dyDescent="0.35">
      <c r="B59" s="1"/>
      <c r="C59" s="1">
        <f t="shared" si="9"/>
        <v>4</v>
      </c>
      <c r="D59" s="40">
        <f t="shared" si="10"/>
        <v>4633647.9330679057</v>
      </c>
      <c r="E59" s="104">
        <f t="shared" si="6"/>
        <v>150000.00003750002</v>
      </c>
      <c r="F59" s="40">
        <f t="shared" ref="F59:F91" si="24">D59-E59</f>
        <v>4483647.933030406</v>
      </c>
      <c r="G59" s="40">
        <f t="shared" si="5"/>
        <v>4483647.9334040433</v>
      </c>
      <c r="H59" s="1"/>
      <c r="I59" s="1">
        <f t="shared" si="11"/>
        <v>4</v>
      </c>
      <c r="J59" s="95">
        <f t="shared" si="12"/>
        <v>8872508.6967290994</v>
      </c>
      <c r="K59" s="95">
        <f t="shared" si="13"/>
        <v>150000.00003750002</v>
      </c>
      <c r="L59" s="95">
        <f t="shared" si="7"/>
        <v>8722508.6966915987</v>
      </c>
      <c r="M59" s="95">
        <f t="shared" si="8"/>
        <v>8778629.5802808795</v>
      </c>
      <c r="N59" s="1"/>
      <c r="O59" s="1">
        <f t="shared" si="14"/>
        <v>4</v>
      </c>
      <c r="P59" s="95">
        <f t="shared" si="15"/>
        <v>12482893.252290407</v>
      </c>
      <c r="Q59" s="95">
        <f t="shared" si="16"/>
        <v>150000.00003750002</v>
      </c>
      <c r="R59" s="95">
        <f t="shared" si="17"/>
        <v>12332893.252252907</v>
      </c>
      <c r="S59" s="95">
        <f t="shared" si="18"/>
        <v>12431237.474941051</v>
      </c>
      <c r="T59" s="1"/>
      <c r="U59" s="1">
        <f t="shared" si="19"/>
        <v>4</v>
      </c>
      <c r="V59" s="95">
        <f t="shared" si="20"/>
        <v>18073041.268901885</v>
      </c>
      <c r="W59" s="95">
        <f t="shared" si="21"/>
        <v>150000.00003750002</v>
      </c>
      <c r="X59" s="95">
        <f t="shared" si="22"/>
        <v>17923041.268864386</v>
      </c>
      <c r="Y59" s="95">
        <f t="shared" si="23"/>
        <v>18093109.296222627</v>
      </c>
      <c r="Z59" s="1"/>
      <c r="AA59" s="1"/>
      <c r="AB59" s="1"/>
      <c r="AC59" s="1"/>
      <c r="AD59" s="1"/>
      <c r="AE59" s="1"/>
      <c r="AF59" s="1"/>
      <c r="AG59" s="1"/>
      <c r="AH59" s="1"/>
    </row>
    <row r="60" spans="2:34" x14ac:dyDescent="0.35">
      <c r="B60" s="1"/>
      <c r="C60" s="1">
        <f t="shared" si="9"/>
        <v>5</v>
      </c>
      <c r="D60" s="40">
        <f t="shared" si="10"/>
        <v>4483647.9334040433</v>
      </c>
      <c r="E60" s="104">
        <f t="shared" si="6"/>
        <v>150000.00005000003</v>
      </c>
      <c r="F60" s="40">
        <f t="shared" si="24"/>
        <v>4333647.9333540434</v>
      </c>
      <c r="G60" s="40">
        <f t="shared" si="5"/>
        <v>4333647.9337151805</v>
      </c>
      <c r="H60" s="1"/>
      <c r="I60" s="1">
        <f t="shared" si="11"/>
        <v>5</v>
      </c>
      <c r="J60" s="95">
        <f t="shared" si="12"/>
        <v>8778629.5802808795</v>
      </c>
      <c r="K60" s="95">
        <f t="shared" si="13"/>
        <v>150000.00005000003</v>
      </c>
      <c r="L60" s="95">
        <f t="shared" si="7"/>
        <v>8628629.5802308787</v>
      </c>
      <c r="M60" s="95">
        <f t="shared" si="8"/>
        <v>8684146.4427581504</v>
      </c>
      <c r="N60" s="1"/>
      <c r="O60" s="1">
        <f t="shared" si="14"/>
        <v>5</v>
      </c>
      <c r="P60" s="95">
        <f t="shared" si="15"/>
        <v>12431237.474941051</v>
      </c>
      <c r="Q60" s="95">
        <f t="shared" si="16"/>
        <v>150000.00005000003</v>
      </c>
      <c r="R60" s="95">
        <f t="shared" si="17"/>
        <v>12281237.47489105</v>
      </c>
      <c r="S60" s="95">
        <f t="shared" si="18"/>
        <v>12379169.787156546</v>
      </c>
      <c r="T60" s="1"/>
      <c r="U60" s="1">
        <f t="shared" si="19"/>
        <v>5</v>
      </c>
      <c r="V60" s="95">
        <f t="shared" si="20"/>
        <v>18093109.296222627</v>
      </c>
      <c r="W60" s="95">
        <f t="shared" si="21"/>
        <v>150000.00005000003</v>
      </c>
      <c r="X60" s="95">
        <f t="shared" si="22"/>
        <v>17943109.296172626</v>
      </c>
      <c r="Y60" s="95">
        <f t="shared" si="23"/>
        <v>18113367.744886599</v>
      </c>
      <c r="Z60" s="1"/>
      <c r="AA60" s="1"/>
      <c r="AB60" s="1"/>
      <c r="AC60" s="1"/>
      <c r="AD60" s="1"/>
      <c r="AE60" s="1"/>
      <c r="AF60" s="1"/>
      <c r="AG60" s="1"/>
      <c r="AH60" s="1"/>
    </row>
    <row r="61" spans="2:34" x14ac:dyDescent="0.35">
      <c r="B61" s="1"/>
      <c r="C61" s="1">
        <f t="shared" si="9"/>
        <v>6</v>
      </c>
      <c r="D61" s="40">
        <f t="shared" si="10"/>
        <v>4333647.9337151805</v>
      </c>
      <c r="E61" s="104">
        <f t="shared" si="6"/>
        <v>150000.00006250004</v>
      </c>
      <c r="F61" s="40">
        <f t="shared" si="24"/>
        <v>4183647.9336526804</v>
      </c>
      <c r="G61" s="40">
        <f t="shared" si="5"/>
        <v>4183647.9340013177</v>
      </c>
      <c r="H61" s="1"/>
      <c r="I61" s="1">
        <f t="shared" si="11"/>
        <v>6</v>
      </c>
      <c r="J61" s="95">
        <f t="shared" si="12"/>
        <v>8684146.4427581504</v>
      </c>
      <c r="K61" s="95">
        <f t="shared" si="13"/>
        <v>150000.00006250004</v>
      </c>
      <c r="L61" s="95">
        <f t="shared" si="7"/>
        <v>8534146.4426956512</v>
      </c>
      <c r="M61" s="95">
        <f t="shared" si="8"/>
        <v>8589055.3978711329</v>
      </c>
      <c r="N61" s="1"/>
      <c r="O61" s="1">
        <f t="shared" si="14"/>
        <v>6</v>
      </c>
      <c r="P61" s="95">
        <f t="shared" si="15"/>
        <v>12379169.787156546</v>
      </c>
      <c r="Q61" s="95">
        <f t="shared" si="16"/>
        <v>150000.00006250004</v>
      </c>
      <c r="R61" s="95">
        <f t="shared" si="17"/>
        <v>12229169.787094047</v>
      </c>
      <c r="S61" s="95">
        <f t="shared" si="18"/>
        <v>12326686.904305242</v>
      </c>
      <c r="T61" s="1"/>
      <c r="U61" s="1">
        <f t="shared" si="19"/>
        <v>6</v>
      </c>
      <c r="V61" s="95">
        <f t="shared" si="20"/>
        <v>18113367.744886599</v>
      </c>
      <c r="W61" s="95">
        <f t="shared" si="21"/>
        <v>150000.00006250004</v>
      </c>
      <c r="X61" s="95">
        <f t="shared" si="22"/>
        <v>17963367.7448241</v>
      </c>
      <c r="Y61" s="95">
        <f t="shared" si="23"/>
        <v>18133818.421762504</v>
      </c>
      <c r="Z61" s="1"/>
      <c r="AA61" s="1"/>
      <c r="AB61" s="1"/>
      <c r="AC61" s="1"/>
      <c r="AD61" s="1"/>
      <c r="AE61" s="1"/>
      <c r="AF61" s="1"/>
      <c r="AG61" s="1"/>
      <c r="AH61" s="1"/>
    </row>
    <row r="62" spans="2:34" x14ac:dyDescent="0.35">
      <c r="B62" s="1"/>
      <c r="C62" s="1">
        <f t="shared" si="9"/>
        <v>7</v>
      </c>
      <c r="D62" s="40">
        <f t="shared" si="10"/>
        <v>4183647.9340013177</v>
      </c>
      <c r="E62" s="104">
        <f t="shared" si="6"/>
        <v>150000.00007500005</v>
      </c>
      <c r="F62" s="40">
        <f t="shared" si="24"/>
        <v>4033647.9339263178</v>
      </c>
      <c r="G62" s="40">
        <f t="shared" si="5"/>
        <v>4033647.934262455</v>
      </c>
      <c r="H62" s="1"/>
      <c r="I62" s="1">
        <f t="shared" si="11"/>
        <v>7</v>
      </c>
      <c r="J62" s="95">
        <f t="shared" si="12"/>
        <v>8589055.3978711329</v>
      </c>
      <c r="K62" s="95">
        <f t="shared" si="13"/>
        <v>150000.00007500005</v>
      </c>
      <c r="L62" s="95">
        <f t="shared" si="7"/>
        <v>8439055.3977961335</v>
      </c>
      <c r="M62" s="95">
        <f t="shared" si="8"/>
        <v>8493352.5343255401</v>
      </c>
      <c r="N62" s="1"/>
      <c r="O62" s="1">
        <f t="shared" si="14"/>
        <v>7</v>
      </c>
      <c r="P62" s="95">
        <f t="shared" si="15"/>
        <v>12326686.904305242</v>
      </c>
      <c r="Q62" s="95">
        <f t="shared" si="16"/>
        <v>150000.00007500005</v>
      </c>
      <c r="R62" s="95">
        <f t="shared" si="17"/>
        <v>12176686.904230243</v>
      </c>
      <c r="S62" s="95">
        <f t="shared" si="18"/>
        <v>12273785.515563369</v>
      </c>
      <c r="T62" s="1"/>
      <c r="U62" s="1">
        <f t="shared" si="19"/>
        <v>7</v>
      </c>
      <c r="V62" s="95">
        <f t="shared" si="20"/>
        <v>18133818.421762504</v>
      </c>
      <c r="W62" s="95">
        <f t="shared" si="21"/>
        <v>150000.00007500005</v>
      </c>
      <c r="X62" s="95">
        <f t="shared" si="22"/>
        <v>17983818.421687502</v>
      </c>
      <c r="Y62" s="95">
        <f t="shared" si="23"/>
        <v>18154463.150864035</v>
      </c>
      <c r="Z62" s="1"/>
      <c r="AA62" s="1"/>
      <c r="AB62" s="1"/>
      <c r="AC62" s="1"/>
      <c r="AD62" s="1"/>
      <c r="AE62" s="1"/>
      <c r="AF62" s="1"/>
      <c r="AG62" s="1"/>
      <c r="AH62" s="1"/>
    </row>
    <row r="63" spans="2:34" x14ac:dyDescent="0.35">
      <c r="B63" s="1"/>
      <c r="C63" s="1">
        <f t="shared" si="9"/>
        <v>8</v>
      </c>
      <c r="D63" s="40">
        <f t="shared" si="10"/>
        <v>4033647.934262455</v>
      </c>
      <c r="E63" s="104">
        <f t="shared" si="6"/>
        <v>150000.00008750006</v>
      </c>
      <c r="F63" s="40">
        <f t="shared" si="24"/>
        <v>3883647.9341749549</v>
      </c>
      <c r="G63" s="40">
        <f t="shared" si="5"/>
        <v>3883647.9344985923</v>
      </c>
      <c r="H63" s="1"/>
      <c r="I63" s="1">
        <f t="shared" si="11"/>
        <v>8</v>
      </c>
      <c r="J63" s="95">
        <f t="shared" si="12"/>
        <v>8493352.5343255401</v>
      </c>
      <c r="K63" s="95">
        <f t="shared" si="13"/>
        <v>150000.00008750006</v>
      </c>
      <c r="L63" s="95">
        <f t="shared" si="7"/>
        <v>8343352.5342380404</v>
      </c>
      <c r="M63" s="95">
        <f t="shared" si="8"/>
        <v>8397033.9156617019</v>
      </c>
      <c r="N63" s="1"/>
      <c r="O63" s="1">
        <f t="shared" si="14"/>
        <v>8</v>
      </c>
      <c r="P63" s="95">
        <f t="shared" si="15"/>
        <v>12273785.515563369</v>
      </c>
      <c r="Q63" s="95">
        <f t="shared" si="16"/>
        <v>150000.00008750006</v>
      </c>
      <c r="R63" s="95">
        <f t="shared" si="17"/>
        <v>12123785.515475869</v>
      </c>
      <c r="S63" s="95">
        <f t="shared" si="18"/>
        <v>12220462.283706183</v>
      </c>
      <c r="T63" s="1"/>
      <c r="U63" s="1">
        <f t="shared" si="19"/>
        <v>8</v>
      </c>
      <c r="V63" s="95">
        <f t="shared" si="20"/>
        <v>18154463.150864035</v>
      </c>
      <c r="W63" s="95">
        <f t="shared" si="21"/>
        <v>150000.00008750006</v>
      </c>
      <c r="X63" s="95">
        <f t="shared" si="22"/>
        <v>18004463.150776535</v>
      </c>
      <c r="Y63" s="95">
        <f t="shared" si="23"/>
        <v>18175303.773512583</v>
      </c>
      <c r="Z63" s="1"/>
      <c r="AA63" s="1"/>
      <c r="AB63" s="1"/>
      <c r="AC63" s="1"/>
      <c r="AD63" s="1"/>
      <c r="AE63" s="1"/>
      <c r="AF63" s="1"/>
      <c r="AG63" s="1"/>
      <c r="AH63" s="1"/>
    </row>
    <row r="64" spans="2:34" x14ac:dyDescent="0.35">
      <c r="B64" s="1"/>
      <c r="C64" s="1">
        <f t="shared" si="9"/>
        <v>9</v>
      </c>
      <c r="D64" s="40">
        <f t="shared" si="10"/>
        <v>3883647.9344985923</v>
      </c>
      <c r="E64" s="104">
        <f t="shared" si="6"/>
        <v>150000.00010000006</v>
      </c>
      <c r="F64" s="40">
        <f t="shared" si="24"/>
        <v>3733647.9343985924</v>
      </c>
      <c r="G64" s="40">
        <f t="shared" si="5"/>
        <v>3733647.9347097296</v>
      </c>
      <c r="H64" s="1"/>
      <c r="I64" s="1">
        <f t="shared" si="11"/>
        <v>9</v>
      </c>
      <c r="J64" s="95">
        <f t="shared" si="12"/>
        <v>8397033.9156617019</v>
      </c>
      <c r="K64" s="95">
        <f t="shared" si="13"/>
        <v>150000.00010000006</v>
      </c>
      <c r="L64" s="95">
        <f t="shared" si="7"/>
        <v>8247033.9155617021</v>
      </c>
      <c r="M64" s="95">
        <f t="shared" si="8"/>
        <v>8300095.5800926453</v>
      </c>
      <c r="N64" s="1"/>
      <c r="O64" s="1">
        <f t="shared" si="14"/>
        <v>9</v>
      </c>
      <c r="P64" s="95">
        <f t="shared" si="15"/>
        <v>12220462.283706183</v>
      </c>
      <c r="Q64" s="95">
        <f t="shared" si="16"/>
        <v>150000.00010000006</v>
      </c>
      <c r="R64" s="95">
        <f t="shared" si="17"/>
        <v>12070462.283606183</v>
      </c>
      <c r="S64" s="95">
        <f t="shared" si="18"/>
        <v>12166713.844897445</v>
      </c>
      <c r="T64" s="1"/>
      <c r="U64" s="1">
        <f t="shared" si="19"/>
        <v>9</v>
      </c>
      <c r="V64" s="95">
        <f t="shared" si="20"/>
        <v>18175303.773512583</v>
      </c>
      <c r="W64" s="95">
        <f t="shared" si="21"/>
        <v>150000.00010000006</v>
      </c>
      <c r="X64" s="95">
        <f t="shared" si="22"/>
        <v>18025303.773412582</v>
      </c>
      <c r="Y64" s="95">
        <f t="shared" si="23"/>
        <v>18196342.148501452</v>
      </c>
      <c r="Z64" s="1"/>
      <c r="AA64" s="1"/>
      <c r="AB64" s="1"/>
      <c r="AC64" s="1"/>
      <c r="AD64" s="1"/>
      <c r="AE64" s="1"/>
      <c r="AF64" s="1"/>
      <c r="AG64" s="1"/>
      <c r="AH64" s="1"/>
    </row>
    <row r="65" spans="2:34" x14ac:dyDescent="0.35">
      <c r="B65" s="1"/>
      <c r="C65" s="1">
        <f t="shared" si="9"/>
        <v>10</v>
      </c>
      <c r="D65" s="40">
        <f t="shared" si="10"/>
        <v>3733647.9347097296</v>
      </c>
      <c r="E65" s="104">
        <f t="shared" si="6"/>
        <v>150000.00011250007</v>
      </c>
      <c r="F65" s="40">
        <f t="shared" si="24"/>
        <v>3583647.9345972296</v>
      </c>
      <c r="G65" s="40">
        <f t="shared" si="5"/>
        <v>3583647.934895867</v>
      </c>
      <c r="H65" s="1"/>
      <c r="I65" s="1">
        <f t="shared" si="11"/>
        <v>10</v>
      </c>
      <c r="J65" s="95">
        <f t="shared" si="12"/>
        <v>8300095.5800926453</v>
      </c>
      <c r="K65" s="95">
        <f t="shared" si="13"/>
        <v>150000.00011250007</v>
      </c>
      <c r="L65" s="95">
        <f t="shared" si="7"/>
        <v>8150095.5799801452</v>
      </c>
      <c r="M65" s="95">
        <f t="shared" si="8"/>
        <v>8202533.5403411435</v>
      </c>
      <c r="N65" s="1"/>
      <c r="O65" s="1">
        <f t="shared" si="14"/>
        <v>10</v>
      </c>
      <c r="P65" s="95">
        <f t="shared" si="15"/>
        <v>12166713.844897445</v>
      </c>
      <c r="Q65" s="95">
        <f t="shared" si="16"/>
        <v>150000.00011250007</v>
      </c>
      <c r="R65" s="95">
        <f t="shared" si="17"/>
        <v>12016713.844784945</v>
      </c>
      <c r="S65" s="95">
        <f t="shared" si="18"/>
        <v>12112536.808477212</v>
      </c>
      <c r="T65" s="1"/>
      <c r="U65" s="1">
        <f t="shared" si="19"/>
        <v>10</v>
      </c>
      <c r="V65" s="95">
        <f t="shared" si="20"/>
        <v>18196342.148501452</v>
      </c>
      <c r="W65" s="95">
        <f t="shared" si="21"/>
        <v>150000.00011250007</v>
      </c>
      <c r="X65" s="95">
        <f t="shared" si="22"/>
        <v>18046342.148388952</v>
      </c>
      <c r="Y65" s="95">
        <f t="shared" si="23"/>
        <v>18217580.152261652</v>
      </c>
      <c r="Z65" s="1"/>
      <c r="AA65" s="1"/>
      <c r="AB65" s="1"/>
      <c r="AC65" s="1"/>
      <c r="AD65" s="1"/>
      <c r="AE65" s="1"/>
      <c r="AF65" s="1"/>
      <c r="AG65" s="1"/>
      <c r="AH65" s="1"/>
    </row>
    <row r="66" spans="2:34" x14ac:dyDescent="0.35">
      <c r="B66" s="1"/>
      <c r="C66" s="1">
        <f t="shared" si="9"/>
        <v>11</v>
      </c>
      <c r="D66" s="40">
        <f t="shared" si="10"/>
        <v>3583647.934895867</v>
      </c>
      <c r="E66" s="104">
        <f t="shared" si="6"/>
        <v>150000.00012500008</v>
      </c>
      <c r="F66" s="40">
        <f t="shared" si="24"/>
        <v>3433647.9347708668</v>
      </c>
      <c r="G66" s="40">
        <f t="shared" si="5"/>
        <v>3433647.935057004</v>
      </c>
      <c r="H66" s="1"/>
      <c r="I66" s="1">
        <f t="shared" si="11"/>
        <v>11</v>
      </c>
      <c r="J66" s="95">
        <f t="shared" si="12"/>
        <v>8202533.5403411435</v>
      </c>
      <c r="K66" s="95">
        <f t="shared" si="13"/>
        <v>150000.00012500008</v>
      </c>
      <c r="L66" s="95">
        <f t="shared" si="7"/>
        <v>8052533.5402161432</v>
      </c>
      <c r="M66" s="95">
        <f t="shared" si="8"/>
        <v>8104343.7834757064</v>
      </c>
      <c r="N66" s="1"/>
      <c r="O66" s="1">
        <f t="shared" si="14"/>
        <v>11</v>
      </c>
      <c r="P66" s="95">
        <f t="shared" si="15"/>
        <v>12112536.808477212</v>
      </c>
      <c r="Q66" s="95">
        <f t="shared" si="16"/>
        <v>150000.00012500008</v>
      </c>
      <c r="R66" s="95">
        <f t="shared" si="17"/>
        <v>11962536.808352211</v>
      </c>
      <c r="S66" s="95">
        <f t="shared" si="18"/>
        <v>12057927.756747942</v>
      </c>
      <c r="T66" s="1"/>
      <c r="U66" s="1">
        <f t="shared" si="19"/>
        <v>11</v>
      </c>
      <c r="V66" s="95">
        <f t="shared" si="20"/>
        <v>18217580.152261652</v>
      </c>
      <c r="W66" s="95">
        <f t="shared" si="21"/>
        <v>150000.00012500008</v>
      </c>
      <c r="X66" s="95">
        <f t="shared" si="22"/>
        <v>18067580.152136654</v>
      </c>
      <c r="Y66" s="95">
        <f t="shared" si="23"/>
        <v>18239019.67902926</v>
      </c>
      <c r="Z66" s="1"/>
      <c r="AA66" s="1"/>
      <c r="AB66" s="1"/>
      <c r="AC66" s="1"/>
      <c r="AD66" s="1"/>
      <c r="AE66" s="1"/>
      <c r="AF66" s="1"/>
      <c r="AG66" s="1"/>
      <c r="AH66" s="1"/>
    </row>
    <row r="67" spans="2:34" x14ac:dyDescent="0.35">
      <c r="B67" s="1"/>
      <c r="C67" s="1">
        <f t="shared" si="9"/>
        <v>12</v>
      </c>
      <c r="D67" s="40">
        <f t="shared" si="10"/>
        <v>3433647.935057004</v>
      </c>
      <c r="E67" s="104">
        <f t="shared" si="6"/>
        <v>150000.00013750009</v>
      </c>
      <c r="F67" s="40">
        <f t="shared" si="24"/>
        <v>3283647.934919504</v>
      </c>
      <c r="G67" s="40">
        <f t="shared" si="5"/>
        <v>3283647.9351931415</v>
      </c>
      <c r="H67" s="1"/>
      <c r="I67" s="1">
        <f t="shared" si="11"/>
        <v>12</v>
      </c>
      <c r="J67" s="95">
        <f t="shared" si="12"/>
        <v>8104343.7834757064</v>
      </c>
      <c r="K67" s="95">
        <f t="shared" si="13"/>
        <v>150000.00013750009</v>
      </c>
      <c r="L67" s="95">
        <f t="shared" si="7"/>
        <v>7954343.7833382059</v>
      </c>
      <c r="M67" s="95">
        <f t="shared" si="8"/>
        <v>8005522.2707455223</v>
      </c>
      <c r="N67" s="1"/>
      <c r="O67" s="1">
        <f t="shared" si="14"/>
        <v>12</v>
      </c>
      <c r="P67" s="95">
        <f t="shared" si="15"/>
        <v>12057927.756747942</v>
      </c>
      <c r="Q67" s="95">
        <f t="shared" si="16"/>
        <v>150000.00013750009</v>
      </c>
      <c r="R67" s="95">
        <f t="shared" si="17"/>
        <v>11907927.756610442</v>
      </c>
      <c r="S67" s="95">
        <f t="shared" si="18"/>
        <v>12002883.244758895</v>
      </c>
      <c r="T67" s="1"/>
      <c r="U67" s="1">
        <f t="shared" si="19"/>
        <v>12</v>
      </c>
      <c r="V67" s="95">
        <f t="shared" si="20"/>
        <v>18239019.67902926</v>
      </c>
      <c r="W67" s="95">
        <f t="shared" si="21"/>
        <v>150000.00013750009</v>
      </c>
      <c r="X67" s="95">
        <f t="shared" si="22"/>
        <v>18089019.678891759</v>
      </c>
      <c r="Y67" s="95">
        <f t="shared" si="23"/>
        <v>18260662.64101436</v>
      </c>
      <c r="Z67" s="1"/>
      <c r="AA67" s="1"/>
      <c r="AB67" s="1"/>
      <c r="AC67" s="1"/>
      <c r="AD67" s="1"/>
      <c r="AE67" s="1"/>
      <c r="AF67" s="1"/>
      <c r="AG67" s="1"/>
      <c r="AH67" s="1"/>
    </row>
    <row r="68" spans="2:34" x14ac:dyDescent="0.35">
      <c r="B68" s="1"/>
      <c r="C68" s="1">
        <f t="shared" si="9"/>
        <v>13</v>
      </c>
      <c r="D68" s="40">
        <f t="shared" si="10"/>
        <v>3283647.9351931415</v>
      </c>
      <c r="E68" s="104">
        <f t="shared" si="6"/>
        <v>150000.00015000009</v>
      </c>
      <c r="F68" s="40">
        <f t="shared" si="24"/>
        <v>3133647.9350431412</v>
      </c>
      <c r="G68" s="40">
        <f t="shared" si="5"/>
        <v>3133647.9353042785</v>
      </c>
      <c r="H68" s="1"/>
      <c r="I68" s="1">
        <f t="shared" si="11"/>
        <v>13</v>
      </c>
      <c r="J68" s="95">
        <f t="shared" si="12"/>
        <v>8005522.2707455223</v>
      </c>
      <c r="K68" s="95">
        <f t="shared" si="13"/>
        <v>150000.00015000009</v>
      </c>
      <c r="L68" s="95">
        <f t="shared" si="7"/>
        <v>7855522.2705955226</v>
      </c>
      <c r="M68" s="95">
        <f t="shared" si="8"/>
        <v>7906064.9374143369</v>
      </c>
      <c r="N68" s="1"/>
      <c r="O68" s="1">
        <f t="shared" si="14"/>
        <v>13</v>
      </c>
      <c r="P68" s="95">
        <f t="shared" si="15"/>
        <v>12002883.244758895</v>
      </c>
      <c r="Q68" s="95">
        <f t="shared" si="16"/>
        <v>150000.00015000009</v>
      </c>
      <c r="R68" s="95">
        <f t="shared" si="17"/>
        <v>11852883.244608894</v>
      </c>
      <c r="S68" s="95">
        <f t="shared" si="18"/>
        <v>11947399.800088806</v>
      </c>
      <c r="T68" s="1"/>
      <c r="U68" s="1">
        <f t="shared" si="19"/>
        <v>13</v>
      </c>
      <c r="V68" s="95">
        <f t="shared" si="20"/>
        <v>18260662.64101436</v>
      </c>
      <c r="W68" s="95">
        <f t="shared" si="21"/>
        <v>150000.00015000009</v>
      </c>
      <c r="X68" s="95">
        <f t="shared" si="22"/>
        <v>18110662.640864361</v>
      </c>
      <c r="Y68" s="95">
        <f t="shared" si="23"/>
        <v>18282510.968571611</v>
      </c>
      <c r="Z68" s="1"/>
      <c r="AA68" s="1"/>
      <c r="AB68" s="1"/>
      <c r="AC68" s="1"/>
      <c r="AD68" s="1"/>
      <c r="AE68" s="1"/>
      <c r="AF68" s="1"/>
      <c r="AG68" s="1"/>
      <c r="AH68" s="1"/>
    </row>
    <row r="69" spans="2:34" x14ac:dyDescent="0.35">
      <c r="B69" s="1"/>
      <c r="C69" s="1">
        <f t="shared" si="9"/>
        <v>14</v>
      </c>
      <c r="D69" s="40">
        <f t="shared" si="10"/>
        <v>3133647.9353042785</v>
      </c>
      <c r="E69" s="104">
        <f t="shared" si="6"/>
        <v>150000.0001625001</v>
      </c>
      <c r="F69" s="40">
        <f t="shared" si="24"/>
        <v>2983647.9351417786</v>
      </c>
      <c r="G69" s="40">
        <f t="shared" si="5"/>
        <v>2983647.9353904161</v>
      </c>
      <c r="H69" s="1"/>
      <c r="I69" s="1">
        <f t="shared" si="11"/>
        <v>14</v>
      </c>
      <c r="J69" s="95">
        <f t="shared" si="12"/>
        <v>7906064.9374143369</v>
      </c>
      <c r="K69" s="95">
        <f t="shared" si="13"/>
        <v>150000.0001625001</v>
      </c>
      <c r="L69" s="95">
        <f t="shared" si="7"/>
        <v>7756064.937251837</v>
      </c>
      <c r="M69" s="95">
        <f t="shared" si="8"/>
        <v>7805967.6925932569</v>
      </c>
      <c r="N69" s="1"/>
      <c r="O69" s="1">
        <f t="shared" si="14"/>
        <v>14</v>
      </c>
      <c r="P69" s="95">
        <f t="shared" si="15"/>
        <v>11947399.800088806</v>
      </c>
      <c r="Q69" s="95">
        <f t="shared" si="16"/>
        <v>150000.0001625001</v>
      </c>
      <c r="R69" s="95">
        <f t="shared" si="17"/>
        <v>11797399.799926305</v>
      </c>
      <c r="S69" s="95">
        <f t="shared" si="18"/>
        <v>11891473.922626838</v>
      </c>
      <c r="T69" s="1"/>
      <c r="U69" s="1">
        <f t="shared" si="19"/>
        <v>14</v>
      </c>
      <c r="V69" s="95">
        <f t="shared" si="20"/>
        <v>18282510.968571611</v>
      </c>
      <c r="W69" s="95">
        <f t="shared" si="21"/>
        <v>150000.0001625001</v>
      </c>
      <c r="X69" s="95">
        <f t="shared" si="22"/>
        <v>18132510.96840911</v>
      </c>
      <c r="Y69" s="95">
        <f t="shared" si="23"/>
        <v>18304566.610372398</v>
      </c>
      <c r="Z69" s="1"/>
      <c r="AA69" s="1"/>
      <c r="AB69" s="1"/>
      <c r="AC69" s="1"/>
      <c r="AD69" s="1"/>
      <c r="AE69" s="1"/>
      <c r="AF69" s="1"/>
      <c r="AG69" s="1"/>
      <c r="AH69" s="1"/>
    </row>
    <row r="70" spans="2:34" x14ac:dyDescent="0.35">
      <c r="B70" s="1"/>
      <c r="C70" s="1">
        <f t="shared" si="9"/>
        <v>15</v>
      </c>
      <c r="D70" s="40">
        <f t="shared" si="10"/>
        <v>2983647.9353904161</v>
      </c>
      <c r="E70" s="104">
        <f t="shared" si="6"/>
        <v>150000.00017500011</v>
      </c>
      <c r="F70" s="40">
        <f t="shared" si="24"/>
        <v>2833647.9352154159</v>
      </c>
      <c r="G70" s="40">
        <f t="shared" si="5"/>
        <v>2833647.9354515532</v>
      </c>
      <c r="H70" s="1"/>
      <c r="I70" s="1">
        <f t="shared" si="11"/>
        <v>15</v>
      </c>
      <c r="J70" s="95">
        <f t="shared" si="12"/>
        <v>7805967.6925932569</v>
      </c>
      <c r="K70" s="95">
        <f t="shared" si="13"/>
        <v>150000.00017500011</v>
      </c>
      <c r="L70" s="95">
        <f t="shared" si="7"/>
        <v>7655967.6924182568</v>
      </c>
      <c r="M70" s="95">
        <f t="shared" si="8"/>
        <v>7705226.4190724893</v>
      </c>
      <c r="N70" s="1"/>
      <c r="O70" s="1">
        <f t="shared" si="14"/>
        <v>15</v>
      </c>
      <c r="P70" s="95">
        <f t="shared" si="15"/>
        <v>11891473.922626838</v>
      </c>
      <c r="Q70" s="95">
        <f t="shared" si="16"/>
        <v>150000.00017500011</v>
      </c>
      <c r="R70" s="95">
        <f t="shared" si="17"/>
        <v>11741473.922451839</v>
      </c>
      <c r="S70" s="95">
        <f t="shared" si="18"/>
        <v>11835102.084351782</v>
      </c>
      <c r="T70" s="1"/>
      <c r="U70" s="1">
        <f t="shared" si="19"/>
        <v>15</v>
      </c>
      <c r="V70" s="95">
        <f t="shared" si="20"/>
        <v>18304566.610372398</v>
      </c>
      <c r="W70" s="95">
        <f t="shared" si="21"/>
        <v>150000.00017500011</v>
      </c>
      <c r="X70" s="95">
        <f t="shared" si="22"/>
        <v>18154566.610197399</v>
      </c>
      <c r="Y70" s="95">
        <f t="shared" si="23"/>
        <v>18326831.533578657</v>
      </c>
      <c r="Z70" s="1"/>
      <c r="AA70" s="1"/>
      <c r="AB70" s="1"/>
      <c r="AC70" s="1"/>
      <c r="AD70" s="1"/>
      <c r="AE70" s="1"/>
      <c r="AF70" s="1"/>
      <c r="AG70" s="1"/>
      <c r="AH70" s="1"/>
    </row>
    <row r="71" spans="2:34" x14ac:dyDescent="0.35">
      <c r="B71" s="1"/>
      <c r="C71" s="1">
        <f t="shared" si="9"/>
        <v>16</v>
      </c>
      <c r="D71" s="40">
        <f t="shared" si="10"/>
        <v>2833647.9354515532</v>
      </c>
      <c r="E71" s="104">
        <f t="shared" si="6"/>
        <v>150000.00018750012</v>
      </c>
      <c r="F71" s="40">
        <f t="shared" si="24"/>
        <v>2683647.9352640533</v>
      </c>
      <c r="G71" s="40">
        <f t="shared" si="5"/>
        <v>2683647.9354876908</v>
      </c>
      <c r="H71" s="1"/>
      <c r="I71" s="1">
        <f t="shared" si="11"/>
        <v>16</v>
      </c>
      <c r="J71" s="95">
        <f t="shared" si="12"/>
        <v>7705226.4190724893</v>
      </c>
      <c r="K71" s="95">
        <f t="shared" si="13"/>
        <v>150000.00018750012</v>
      </c>
      <c r="L71" s="95">
        <f t="shared" si="7"/>
        <v>7555226.4188849889</v>
      </c>
      <c r="M71" s="95">
        <f t="shared" si="8"/>
        <v>7603836.9731519883</v>
      </c>
      <c r="N71" s="1"/>
      <c r="O71" s="1">
        <f t="shared" si="14"/>
        <v>16</v>
      </c>
      <c r="P71" s="95">
        <f t="shared" si="15"/>
        <v>11835102.084351782</v>
      </c>
      <c r="Q71" s="95">
        <f t="shared" si="16"/>
        <v>150000.00018750012</v>
      </c>
      <c r="R71" s="95">
        <f t="shared" si="17"/>
        <v>11685102.084164282</v>
      </c>
      <c r="S71" s="95">
        <f t="shared" si="18"/>
        <v>11778280.729109485</v>
      </c>
      <c r="T71" s="1"/>
      <c r="U71" s="1">
        <f t="shared" si="19"/>
        <v>16</v>
      </c>
      <c r="V71" s="95">
        <f t="shared" si="20"/>
        <v>18326831.533578657</v>
      </c>
      <c r="W71" s="95">
        <f t="shared" si="21"/>
        <v>150000.00018750012</v>
      </c>
      <c r="X71" s="95">
        <f t="shared" si="22"/>
        <v>18176831.533391155</v>
      </c>
      <c r="Y71" s="95">
        <f t="shared" si="23"/>
        <v>18349307.724018302</v>
      </c>
      <c r="Z71" s="1"/>
      <c r="AA71" s="1"/>
      <c r="AB71" s="1"/>
      <c r="AC71" s="1"/>
      <c r="AD71" s="1"/>
      <c r="AE71" s="1"/>
      <c r="AF71" s="1"/>
      <c r="AG71" s="1"/>
      <c r="AH71" s="1"/>
    </row>
    <row r="72" spans="2:34" x14ac:dyDescent="0.35">
      <c r="B72" s="1"/>
      <c r="C72" s="1">
        <f t="shared" si="9"/>
        <v>17</v>
      </c>
      <c r="D72" s="40">
        <f t="shared" si="10"/>
        <v>2683647.9354876908</v>
      </c>
      <c r="E72" s="104">
        <f t="shared" si="6"/>
        <v>150000.00020000013</v>
      </c>
      <c r="F72" s="40">
        <f t="shared" si="24"/>
        <v>2533647.9352876907</v>
      </c>
      <c r="G72" s="40">
        <f t="shared" si="5"/>
        <v>2533647.9354988281</v>
      </c>
      <c r="H72" s="1"/>
      <c r="I72" s="1">
        <f t="shared" si="11"/>
        <v>17</v>
      </c>
      <c r="J72" s="95">
        <f t="shared" si="12"/>
        <v>7603836.9731519883</v>
      </c>
      <c r="K72" s="95">
        <f t="shared" si="13"/>
        <v>150000.00020000013</v>
      </c>
      <c r="L72" s="95">
        <f t="shared" si="7"/>
        <v>7453836.9729519878</v>
      </c>
      <c r="M72" s="95">
        <f t="shared" si="8"/>
        <v>7501795.1844710177</v>
      </c>
      <c r="N72" s="1"/>
      <c r="O72" s="1">
        <f t="shared" si="14"/>
        <v>17</v>
      </c>
      <c r="P72" s="95">
        <f t="shared" si="15"/>
        <v>11778280.729109485</v>
      </c>
      <c r="Q72" s="95">
        <f t="shared" si="16"/>
        <v>150000.00020000013</v>
      </c>
      <c r="R72" s="95">
        <f t="shared" si="17"/>
        <v>11628280.728909485</v>
      </c>
      <c r="S72" s="95">
        <f t="shared" si="18"/>
        <v>11721006.272388525</v>
      </c>
      <c r="T72" s="1"/>
      <c r="U72" s="1">
        <f t="shared" si="19"/>
        <v>17</v>
      </c>
      <c r="V72" s="95">
        <f t="shared" si="20"/>
        <v>18349307.724018302</v>
      </c>
      <c r="W72" s="95">
        <f t="shared" si="21"/>
        <v>150000.00020000013</v>
      </c>
      <c r="X72" s="95">
        <f t="shared" si="22"/>
        <v>18199307.723818302</v>
      </c>
      <c r="Y72" s="95">
        <f t="shared" si="23"/>
        <v>18371997.186362371</v>
      </c>
      <c r="Z72" s="1"/>
      <c r="AA72" s="1"/>
      <c r="AB72" s="1"/>
      <c r="AC72" s="1"/>
      <c r="AD72" s="1"/>
      <c r="AE72" s="1"/>
      <c r="AF72" s="1"/>
      <c r="AG72" s="1"/>
      <c r="AH72" s="1"/>
    </row>
    <row r="73" spans="2:34" x14ac:dyDescent="0.35">
      <c r="B73" s="1"/>
      <c r="C73" s="1">
        <f t="shared" si="9"/>
        <v>18</v>
      </c>
      <c r="D73" s="40">
        <f t="shared" si="10"/>
        <v>2533647.9354988281</v>
      </c>
      <c r="E73" s="104">
        <f t="shared" si="6"/>
        <v>150000.00021250013</v>
      </c>
      <c r="F73" s="40">
        <f t="shared" si="24"/>
        <v>2383647.9352863277</v>
      </c>
      <c r="G73" s="40">
        <f t="shared" si="5"/>
        <v>2383647.9354849649</v>
      </c>
      <c r="H73" s="1"/>
      <c r="I73" s="1">
        <f t="shared" si="11"/>
        <v>18</v>
      </c>
      <c r="J73" s="95">
        <f t="shared" si="12"/>
        <v>7501795.1844710177</v>
      </c>
      <c r="K73" s="95">
        <f t="shared" si="13"/>
        <v>150000.00021250013</v>
      </c>
      <c r="L73" s="95">
        <f t="shared" si="7"/>
        <v>7351795.1842585178</v>
      </c>
      <c r="M73" s="95">
        <f t="shared" si="8"/>
        <v>7399096.855836615</v>
      </c>
      <c r="N73" s="1"/>
      <c r="O73" s="1">
        <f t="shared" si="14"/>
        <v>18</v>
      </c>
      <c r="P73" s="95">
        <f t="shared" si="15"/>
        <v>11721006.272388525</v>
      </c>
      <c r="Q73" s="95">
        <f t="shared" si="16"/>
        <v>150000.00021250013</v>
      </c>
      <c r="R73" s="95">
        <f t="shared" si="17"/>
        <v>11571006.272176025</v>
      </c>
      <c r="S73" s="95">
        <f t="shared" si="18"/>
        <v>11663275.101094084</v>
      </c>
      <c r="T73" s="1"/>
      <c r="U73" s="1">
        <f t="shared" si="19"/>
        <v>18</v>
      </c>
      <c r="V73" s="95">
        <f t="shared" si="20"/>
        <v>18371997.186362371</v>
      </c>
      <c r="W73" s="95">
        <f t="shared" si="21"/>
        <v>150000.00021250013</v>
      </c>
      <c r="X73" s="95">
        <f t="shared" si="22"/>
        <v>18221997.186149869</v>
      </c>
      <c r="Y73" s="95">
        <f t="shared" si="23"/>
        <v>18394901.944303799</v>
      </c>
      <c r="Z73" s="1"/>
      <c r="AA73" s="1"/>
      <c r="AB73" s="1"/>
      <c r="AC73" s="1"/>
      <c r="AD73" s="1"/>
      <c r="AE73" s="1"/>
      <c r="AF73" s="1"/>
      <c r="AG73" s="1"/>
      <c r="AH73" s="1"/>
    </row>
    <row r="74" spans="2:34" x14ac:dyDescent="0.35">
      <c r="B74" s="1"/>
      <c r="C74" s="1">
        <f t="shared" si="9"/>
        <v>19</v>
      </c>
      <c r="D74" s="40">
        <f t="shared" si="10"/>
        <v>2383647.9354849649</v>
      </c>
      <c r="E74" s="104">
        <f t="shared" si="6"/>
        <v>150000.00022500014</v>
      </c>
      <c r="F74" s="40">
        <f t="shared" si="24"/>
        <v>2233647.9352599648</v>
      </c>
      <c r="G74" s="40">
        <f t="shared" si="5"/>
        <v>2233647.9354461022</v>
      </c>
      <c r="H74" s="1"/>
      <c r="I74" s="1">
        <f t="shared" si="11"/>
        <v>19</v>
      </c>
      <c r="J74" s="95">
        <f t="shared" si="12"/>
        <v>7399096.855836615</v>
      </c>
      <c r="K74" s="95">
        <f t="shared" si="13"/>
        <v>150000.00022500014</v>
      </c>
      <c r="L74" s="95">
        <f t="shared" si="7"/>
        <v>7249096.8556116149</v>
      </c>
      <c r="M74" s="95">
        <f t="shared" si="8"/>
        <v>7295737.7630509511</v>
      </c>
      <c r="N74" s="1"/>
      <c r="O74" s="1">
        <f t="shared" si="14"/>
        <v>19</v>
      </c>
      <c r="P74" s="95">
        <f t="shared" si="15"/>
        <v>11663275.101094084</v>
      </c>
      <c r="Q74" s="95">
        <f t="shared" si="16"/>
        <v>150000.00022500014</v>
      </c>
      <c r="R74" s="95">
        <f t="shared" si="17"/>
        <v>11513275.100869084</v>
      </c>
      <c r="S74" s="95">
        <f t="shared" si="18"/>
        <v>11605083.573320014</v>
      </c>
      <c r="T74" s="1"/>
      <c r="U74" s="1">
        <f t="shared" si="19"/>
        <v>19</v>
      </c>
      <c r="V74" s="95">
        <f t="shared" si="20"/>
        <v>18394901.944303799</v>
      </c>
      <c r="W74" s="95">
        <f t="shared" si="21"/>
        <v>150000.00022500014</v>
      </c>
      <c r="X74" s="95">
        <f t="shared" si="22"/>
        <v>18244901.944078799</v>
      </c>
      <c r="Y74" s="95">
        <f t="shared" si="23"/>
        <v>18418024.040737934</v>
      </c>
      <c r="Z74" s="1"/>
      <c r="AA74" s="1"/>
      <c r="AB74" s="1"/>
      <c r="AC74" s="1"/>
      <c r="AD74" s="1"/>
      <c r="AE74" s="1"/>
      <c r="AF74" s="1"/>
      <c r="AG74" s="1"/>
      <c r="AH74" s="1"/>
    </row>
    <row r="75" spans="2:34" x14ac:dyDescent="0.35">
      <c r="B75" s="1"/>
      <c r="C75" s="1">
        <f t="shared" si="9"/>
        <v>20</v>
      </c>
      <c r="D75" s="40">
        <f t="shared" si="10"/>
        <v>2233647.9354461022</v>
      </c>
      <c r="E75" s="104">
        <f t="shared" si="6"/>
        <v>150000.00023750015</v>
      </c>
      <c r="F75" s="40">
        <f t="shared" si="24"/>
        <v>2083647.9352086021</v>
      </c>
      <c r="G75" s="40">
        <f t="shared" si="5"/>
        <v>2083647.9353822395</v>
      </c>
      <c r="H75" s="1"/>
      <c r="I75" s="1">
        <f t="shared" si="11"/>
        <v>20</v>
      </c>
      <c r="J75" s="95">
        <f t="shared" si="12"/>
        <v>7295737.7630509511</v>
      </c>
      <c r="K75" s="95">
        <f t="shared" si="13"/>
        <v>150000.00023750015</v>
      </c>
      <c r="L75" s="95">
        <f t="shared" si="7"/>
        <v>7145737.7628134508</v>
      </c>
      <c r="M75" s="95">
        <f t="shared" si="8"/>
        <v>7191713.6547375815</v>
      </c>
      <c r="N75" s="1"/>
      <c r="O75" s="1">
        <f t="shared" si="14"/>
        <v>20</v>
      </c>
      <c r="P75" s="95">
        <f t="shared" si="15"/>
        <v>11605083.573320014</v>
      </c>
      <c r="Q75" s="95">
        <f t="shared" si="16"/>
        <v>150000.00023750015</v>
      </c>
      <c r="R75" s="95">
        <f t="shared" si="17"/>
        <v>11455083.573082514</v>
      </c>
      <c r="S75" s="95">
        <f t="shared" si="18"/>
        <v>11546428.018119102</v>
      </c>
      <c r="T75" s="1"/>
      <c r="U75" s="1">
        <f t="shared" si="19"/>
        <v>20</v>
      </c>
      <c r="V75" s="95">
        <f t="shared" si="20"/>
        <v>18418024.040737934</v>
      </c>
      <c r="W75" s="95">
        <f t="shared" si="21"/>
        <v>150000.00023750015</v>
      </c>
      <c r="X75" s="95">
        <f t="shared" si="22"/>
        <v>18268024.040500436</v>
      </c>
      <c r="Y75" s="95">
        <f t="shared" si="23"/>
        <v>18441365.53794473</v>
      </c>
      <c r="Z75" s="1"/>
      <c r="AA75" s="1"/>
      <c r="AB75" s="1"/>
      <c r="AC75" s="1"/>
      <c r="AD75" s="1"/>
      <c r="AE75" s="1"/>
      <c r="AF75" s="1"/>
      <c r="AG75" s="1"/>
      <c r="AH75" s="1"/>
    </row>
    <row r="76" spans="2:34" x14ac:dyDescent="0.35">
      <c r="B76" s="1"/>
      <c r="C76" s="1">
        <f t="shared" si="9"/>
        <v>21</v>
      </c>
      <c r="D76" s="40">
        <f t="shared" si="10"/>
        <v>2083647.9353822395</v>
      </c>
      <c r="E76" s="104">
        <f t="shared" si="6"/>
        <v>150000.00025000016</v>
      </c>
      <c r="F76" s="40">
        <f t="shared" si="24"/>
        <v>1933647.9351322395</v>
      </c>
      <c r="G76" s="40">
        <f t="shared" si="5"/>
        <v>1933647.9352933769</v>
      </c>
      <c r="H76" s="1"/>
      <c r="I76" s="1">
        <f t="shared" si="11"/>
        <v>21</v>
      </c>
      <c r="J76" s="95">
        <f t="shared" si="12"/>
        <v>7191713.6547375815</v>
      </c>
      <c r="K76" s="95">
        <f t="shared" si="13"/>
        <v>150000.00025000016</v>
      </c>
      <c r="L76" s="95">
        <f t="shared" si="7"/>
        <v>7041713.654487581</v>
      </c>
      <c r="M76" s="95">
        <f t="shared" si="8"/>
        <v>7087020.2521665767</v>
      </c>
      <c r="N76" s="1"/>
      <c r="O76" s="1">
        <f t="shared" si="14"/>
        <v>21</v>
      </c>
      <c r="P76" s="95">
        <f t="shared" si="15"/>
        <v>11546428.018119102</v>
      </c>
      <c r="Q76" s="95">
        <f t="shared" si="16"/>
        <v>150000.00025000016</v>
      </c>
      <c r="R76" s="95">
        <f t="shared" si="17"/>
        <v>11396428.017869102</v>
      </c>
      <c r="S76" s="95">
        <f t="shared" si="18"/>
        <v>11487304.735271484</v>
      </c>
      <c r="T76" s="1"/>
      <c r="U76" s="1">
        <f t="shared" si="19"/>
        <v>21</v>
      </c>
      <c r="V76" s="95">
        <f t="shared" si="20"/>
        <v>18441365.53794473</v>
      </c>
      <c r="W76" s="95">
        <f t="shared" si="21"/>
        <v>150000.00025000016</v>
      </c>
      <c r="X76" s="95">
        <f t="shared" si="22"/>
        <v>18291365.53769473</v>
      </c>
      <c r="Y76" s="95">
        <f t="shared" si="23"/>
        <v>18464928.517772682</v>
      </c>
      <c r="Z76" s="1"/>
      <c r="AA76" s="1"/>
      <c r="AB76" s="1"/>
      <c r="AC76" s="1"/>
      <c r="AD76" s="1"/>
      <c r="AE76" s="1"/>
      <c r="AF76" s="1"/>
      <c r="AG76" s="1"/>
      <c r="AH76" s="1"/>
    </row>
    <row r="77" spans="2:34" x14ac:dyDescent="0.35">
      <c r="B77" s="1"/>
      <c r="C77" s="1">
        <f t="shared" si="9"/>
        <v>22</v>
      </c>
      <c r="D77" s="40">
        <f t="shared" si="10"/>
        <v>1933647.9352933769</v>
      </c>
      <c r="E77" s="104">
        <f t="shared" si="6"/>
        <v>150000.00026250017</v>
      </c>
      <c r="F77" s="40">
        <f t="shared" si="24"/>
        <v>1783647.9350308767</v>
      </c>
      <c r="G77" s="40">
        <f t="shared" si="5"/>
        <v>1783647.9351795141</v>
      </c>
      <c r="H77" s="1"/>
      <c r="I77" s="1">
        <f t="shared" si="11"/>
        <v>22</v>
      </c>
      <c r="J77" s="95">
        <f t="shared" si="12"/>
        <v>7087020.2521665767</v>
      </c>
      <c r="K77" s="95">
        <f t="shared" si="13"/>
        <v>150000.00026250017</v>
      </c>
      <c r="L77" s="95">
        <f t="shared" si="7"/>
        <v>6937020.2519040769</v>
      </c>
      <c r="M77" s="95">
        <f t="shared" si="8"/>
        <v>6981653.2490785317</v>
      </c>
      <c r="N77" s="1"/>
      <c r="O77" s="1">
        <f t="shared" si="14"/>
        <v>22</v>
      </c>
      <c r="P77" s="95">
        <f t="shared" si="15"/>
        <v>11487304.735271484</v>
      </c>
      <c r="Q77" s="95">
        <f t="shared" si="16"/>
        <v>150000.00026250017</v>
      </c>
      <c r="R77" s="95">
        <f t="shared" si="17"/>
        <v>11337304.735008983</v>
      </c>
      <c r="S77" s="95">
        <f t="shared" si="18"/>
        <v>11427709.99505122</v>
      </c>
      <c r="T77" s="1"/>
      <c r="U77" s="1">
        <f t="shared" si="19"/>
        <v>22</v>
      </c>
      <c r="V77" s="95">
        <f t="shared" si="20"/>
        <v>18464928.517772682</v>
      </c>
      <c r="W77" s="95">
        <f t="shared" si="21"/>
        <v>150000.00026250017</v>
      </c>
      <c r="X77" s="95">
        <f t="shared" si="22"/>
        <v>18314928.517510183</v>
      </c>
      <c r="Y77" s="95">
        <f t="shared" si="23"/>
        <v>18488715.081824526</v>
      </c>
      <c r="Z77" s="1"/>
      <c r="AA77" s="1"/>
      <c r="AB77" s="1"/>
      <c r="AC77" s="1"/>
      <c r="AD77" s="1"/>
      <c r="AE77" s="1"/>
      <c r="AF77" s="1"/>
      <c r="AG77" s="1"/>
      <c r="AH77" s="1"/>
    </row>
    <row r="78" spans="2:34" x14ac:dyDescent="0.35">
      <c r="B78" s="1"/>
      <c r="C78" s="1">
        <f t="shared" si="9"/>
        <v>23</v>
      </c>
      <c r="D78" s="40">
        <f t="shared" si="10"/>
        <v>1783647.9351795141</v>
      </c>
      <c r="E78" s="104">
        <f t="shared" si="6"/>
        <v>150000.00027500017</v>
      </c>
      <c r="F78" s="40">
        <f t="shared" si="24"/>
        <v>1633647.9349045139</v>
      </c>
      <c r="G78" s="40">
        <f t="shared" si="5"/>
        <v>1633647.9350406511</v>
      </c>
      <c r="H78" s="1"/>
      <c r="I78" s="1">
        <f t="shared" si="11"/>
        <v>23</v>
      </c>
      <c r="J78" s="95">
        <f t="shared" si="12"/>
        <v>6981653.2490785317</v>
      </c>
      <c r="K78" s="95">
        <f t="shared" si="13"/>
        <v>150000.00027500017</v>
      </c>
      <c r="L78" s="95">
        <f t="shared" si="7"/>
        <v>6831653.2488035318</v>
      </c>
      <c r="M78" s="95">
        <f t="shared" si="8"/>
        <v>6875608.3115074364</v>
      </c>
      <c r="N78" s="1"/>
      <c r="O78" s="1">
        <f t="shared" si="14"/>
        <v>23</v>
      </c>
      <c r="P78" s="95">
        <f t="shared" si="15"/>
        <v>11427709.99505122</v>
      </c>
      <c r="Q78" s="95">
        <f t="shared" si="16"/>
        <v>150000.00027500017</v>
      </c>
      <c r="R78" s="95">
        <f t="shared" si="17"/>
        <v>11277709.994776219</v>
      </c>
      <c r="S78" s="95">
        <f t="shared" si="18"/>
        <v>11367640.037991017</v>
      </c>
      <c r="T78" s="1"/>
      <c r="U78" s="1">
        <f t="shared" si="19"/>
        <v>23</v>
      </c>
      <c r="V78" s="95">
        <f t="shared" si="20"/>
        <v>18488715.081824526</v>
      </c>
      <c r="W78" s="95">
        <f t="shared" si="21"/>
        <v>150000.00027500017</v>
      </c>
      <c r="X78" s="95">
        <f t="shared" si="22"/>
        <v>18338715.081549525</v>
      </c>
      <c r="Y78" s="95">
        <f t="shared" si="23"/>
        <v>18512727.351644665</v>
      </c>
      <c r="Z78" s="1"/>
      <c r="AA78" s="1"/>
      <c r="AB78" s="1"/>
      <c r="AC78" s="1"/>
      <c r="AD78" s="1"/>
      <c r="AE78" s="1"/>
      <c r="AF78" s="1"/>
      <c r="AG78" s="1"/>
      <c r="AH78" s="1"/>
    </row>
    <row r="79" spans="2:34" x14ac:dyDescent="0.35">
      <c r="B79" s="1"/>
      <c r="C79" s="1">
        <f t="shared" si="9"/>
        <v>24</v>
      </c>
      <c r="D79" s="40">
        <f t="shared" si="10"/>
        <v>1633647.9350406511</v>
      </c>
      <c r="E79" s="104">
        <f t="shared" si="6"/>
        <v>150000.00028750018</v>
      </c>
      <c r="F79" s="40">
        <f t="shared" si="24"/>
        <v>1483647.9347531509</v>
      </c>
      <c r="G79" s="40">
        <f t="shared" si="5"/>
        <v>1483647.9348767882</v>
      </c>
      <c r="H79" s="1"/>
      <c r="I79" s="1">
        <f t="shared" si="11"/>
        <v>24</v>
      </c>
      <c r="J79" s="95">
        <f t="shared" si="12"/>
        <v>6875608.3115074364</v>
      </c>
      <c r="K79" s="95">
        <f t="shared" si="13"/>
        <v>150000.00028750018</v>
      </c>
      <c r="L79" s="95">
        <f t="shared" si="7"/>
        <v>6725608.3112199362</v>
      </c>
      <c r="M79" s="95">
        <f t="shared" si="8"/>
        <v>6768881.0776024144</v>
      </c>
      <c r="N79" s="1"/>
      <c r="O79" s="1">
        <f t="shared" si="14"/>
        <v>24</v>
      </c>
      <c r="P79" s="95">
        <f t="shared" si="15"/>
        <v>11367640.037991017</v>
      </c>
      <c r="Q79" s="95">
        <f t="shared" si="16"/>
        <v>150000.00028750018</v>
      </c>
      <c r="R79" s="95">
        <f t="shared" si="17"/>
        <v>11217640.037703518</v>
      </c>
      <c r="S79" s="95">
        <f t="shared" si="18"/>
        <v>11307091.074645059</v>
      </c>
      <c r="T79" s="1"/>
      <c r="U79" s="1">
        <f t="shared" si="19"/>
        <v>24</v>
      </c>
      <c r="V79" s="95">
        <f t="shared" si="20"/>
        <v>18512727.351644665</v>
      </c>
      <c r="W79" s="95">
        <f t="shared" si="21"/>
        <v>150000.00028750018</v>
      </c>
      <c r="X79" s="95">
        <f t="shared" si="22"/>
        <v>18362727.351357166</v>
      </c>
      <c r="Y79" s="95">
        <f t="shared" si="23"/>
        <v>18536967.468908399</v>
      </c>
      <c r="Z79" s="1"/>
      <c r="AA79" s="1"/>
      <c r="AB79" s="1"/>
      <c r="AC79" s="1"/>
      <c r="AD79" s="1"/>
      <c r="AE79" s="1"/>
      <c r="AF79" s="1"/>
      <c r="AG79" s="1"/>
      <c r="AH79" s="1"/>
    </row>
    <row r="80" spans="2:34" x14ac:dyDescent="0.35">
      <c r="B80" s="1"/>
      <c r="C80" s="1">
        <f t="shared" si="9"/>
        <v>25</v>
      </c>
      <c r="D80" s="40">
        <f t="shared" si="10"/>
        <v>1483647.9348767882</v>
      </c>
      <c r="E80" s="104">
        <f t="shared" si="6"/>
        <v>150000.00030000019</v>
      </c>
      <c r="F80" s="40">
        <f t="shared" si="24"/>
        <v>1333647.934576788</v>
      </c>
      <c r="G80" s="40">
        <f t="shared" si="5"/>
        <v>1333647.9346879253</v>
      </c>
      <c r="H80" s="1"/>
      <c r="I80" s="1">
        <f t="shared" si="11"/>
        <v>25</v>
      </c>
      <c r="J80" s="95">
        <f t="shared" si="12"/>
        <v>6768881.0776024144</v>
      </c>
      <c r="K80" s="95">
        <f t="shared" si="13"/>
        <v>150000.00030000019</v>
      </c>
      <c r="L80" s="95">
        <f t="shared" si="7"/>
        <v>6618881.077302414</v>
      </c>
      <c r="M80" s="95">
        <f t="shared" si="8"/>
        <v>6661467.1574483095</v>
      </c>
      <c r="N80" s="1"/>
      <c r="O80" s="1">
        <f t="shared" si="14"/>
        <v>25</v>
      </c>
      <c r="P80" s="95">
        <f t="shared" si="15"/>
        <v>11307091.074645059</v>
      </c>
      <c r="Q80" s="95">
        <f t="shared" si="16"/>
        <v>150000.00030000019</v>
      </c>
      <c r="R80" s="95">
        <f t="shared" si="17"/>
        <v>11157091.07434506</v>
      </c>
      <c r="S80" s="95">
        <f t="shared" si="18"/>
        <v>11246059.285349956</v>
      </c>
      <c r="T80" s="1"/>
      <c r="U80" s="1">
        <f t="shared" si="19"/>
        <v>25</v>
      </c>
      <c r="V80" s="95">
        <f t="shared" si="20"/>
        <v>18536967.468908399</v>
      </c>
      <c r="W80" s="95">
        <f t="shared" si="21"/>
        <v>150000.00030000019</v>
      </c>
      <c r="X80" s="95">
        <f t="shared" si="22"/>
        <v>18386967.468608398</v>
      </c>
      <c r="Y80" s="95">
        <f t="shared" si="23"/>
        <v>18561437.595612939</v>
      </c>
      <c r="Z80" s="1"/>
      <c r="AA80" s="1"/>
      <c r="AB80" s="1"/>
      <c r="AC80" s="1"/>
      <c r="AD80" s="1"/>
      <c r="AE80" s="1"/>
      <c r="AF80" s="1"/>
      <c r="AG80" s="1"/>
      <c r="AH80" s="1"/>
    </row>
    <row r="81" spans="2:34" x14ac:dyDescent="0.35">
      <c r="B81" s="1"/>
      <c r="C81" s="1">
        <f t="shared" si="9"/>
        <v>26</v>
      </c>
      <c r="D81" s="40">
        <f t="shared" si="10"/>
        <v>1333647.9346879253</v>
      </c>
      <c r="E81" s="104">
        <f t="shared" si="6"/>
        <v>150000.0003125002</v>
      </c>
      <c r="F81" s="40">
        <f t="shared" si="24"/>
        <v>1183647.9343754251</v>
      </c>
      <c r="G81" s="40">
        <f t="shared" si="5"/>
        <v>1183647.9344740624</v>
      </c>
      <c r="H81" s="1"/>
      <c r="I81" s="1">
        <f t="shared" si="11"/>
        <v>26</v>
      </c>
      <c r="J81" s="95">
        <f t="shared" si="12"/>
        <v>6661467.1574483095</v>
      </c>
      <c r="K81" s="95">
        <f t="shared" si="13"/>
        <v>150000.0003125002</v>
      </c>
      <c r="L81" s="95">
        <f t="shared" si="7"/>
        <v>6511467.1571358088</v>
      </c>
      <c r="M81" s="95">
        <f t="shared" si="8"/>
        <v>6553362.1328851189</v>
      </c>
      <c r="N81" s="1"/>
      <c r="O81" s="1">
        <f t="shared" si="14"/>
        <v>26</v>
      </c>
      <c r="P81" s="95">
        <f t="shared" si="15"/>
        <v>11246059.285349956</v>
      </c>
      <c r="Q81" s="95">
        <f t="shared" si="16"/>
        <v>150000.0003125002</v>
      </c>
      <c r="R81" s="95">
        <f t="shared" si="17"/>
        <v>11096059.285037456</v>
      </c>
      <c r="S81" s="95">
        <f t="shared" si="18"/>
        <v>11184540.819983786</v>
      </c>
      <c r="T81" s="1"/>
      <c r="U81" s="1">
        <f t="shared" si="19"/>
        <v>26</v>
      </c>
      <c r="V81" s="95">
        <f t="shared" si="20"/>
        <v>18561437.595612939</v>
      </c>
      <c r="W81" s="95">
        <f t="shared" si="21"/>
        <v>150000.0003125002</v>
      </c>
      <c r="X81" s="95">
        <f t="shared" si="22"/>
        <v>18411437.59530044</v>
      </c>
      <c r="Y81" s="95">
        <f t="shared" si="23"/>
        <v>18586139.914270245</v>
      </c>
      <c r="Z81" s="1"/>
      <c r="AA81" s="1"/>
      <c r="AB81" s="1"/>
      <c r="AC81" s="1"/>
      <c r="AD81" s="1"/>
      <c r="AE81" s="1"/>
      <c r="AF81" s="1"/>
      <c r="AG81" s="1"/>
      <c r="AH81" s="1"/>
    </row>
    <row r="82" spans="2:34" x14ac:dyDescent="0.35">
      <c r="B82" s="1"/>
      <c r="C82" s="1">
        <f t="shared" si="9"/>
        <v>27</v>
      </c>
      <c r="D82" s="40">
        <f t="shared" si="10"/>
        <v>1183647.9344740624</v>
      </c>
      <c r="E82" s="104">
        <f t="shared" si="6"/>
        <v>150000.0003250002</v>
      </c>
      <c r="F82" s="40">
        <f t="shared" si="24"/>
        <v>1033647.9341490623</v>
      </c>
      <c r="G82" s="40">
        <f t="shared" si="5"/>
        <v>1033647.9342351996</v>
      </c>
      <c r="H82" s="1"/>
      <c r="I82" s="1">
        <f t="shared" si="11"/>
        <v>27</v>
      </c>
      <c r="J82" s="95">
        <f t="shared" si="12"/>
        <v>6553362.1328851189</v>
      </c>
      <c r="K82" s="95">
        <f t="shared" si="13"/>
        <v>150000.0003250002</v>
      </c>
      <c r="L82" s="95">
        <f t="shared" si="7"/>
        <v>6403362.132560119</v>
      </c>
      <c r="M82" s="95">
        <f t="shared" si="8"/>
        <v>6444561.5573262665</v>
      </c>
      <c r="N82" s="1"/>
      <c r="O82" s="1">
        <f t="shared" si="14"/>
        <v>27</v>
      </c>
      <c r="P82" s="95">
        <f t="shared" si="15"/>
        <v>11184540.819983786</v>
      </c>
      <c r="Q82" s="95">
        <f t="shared" si="16"/>
        <v>150000.0003250002</v>
      </c>
      <c r="R82" s="95">
        <f t="shared" si="17"/>
        <v>11034540.819658786</v>
      </c>
      <c r="S82" s="95">
        <f t="shared" si="18"/>
        <v>11122531.797723217</v>
      </c>
      <c r="T82" s="1"/>
      <c r="U82" s="1">
        <f t="shared" si="19"/>
        <v>27</v>
      </c>
      <c r="V82" s="95">
        <f t="shared" si="20"/>
        <v>18586139.914270245</v>
      </c>
      <c r="W82" s="95">
        <f t="shared" si="21"/>
        <v>150000.0003250002</v>
      </c>
      <c r="X82" s="95">
        <f t="shared" si="22"/>
        <v>18436139.913945243</v>
      </c>
      <c r="Y82" s="95">
        <f t="shared" si="23"/>
        <v>18611076.628101669</v>
      </c>
      <c r="Z82" s="1"/>
      <c r="AA82" s="1"/>
      <c r="AB82" s="1"/>
      <c r="AC82" s="1"/>
      <c r="AD82" s="1"/>
      <c r="AE82" s="1"/>
      <c r="AF82" s="1"/>
      <c r="AG82" s="1"/>
      <c r="AH82" s="1"/>
    </row>
    <row r="83" spans="2:34" x14ac:dyDescent="0.35">
      <c r="B83" s="1"/>
      <c r="C83" s="1">
        <f t="shared" si="9"/>
        <v>28</v>
      </c>
      <c r="D83" s="40">
        <f t="shared" si="10"/>
        <v>1033647.9342351996</v>
      </c>
      <c r="E83" s="104">
        <f t="shared" si="6"/>
        <v>150000.00033750021</v>
      </c>
      <c r="F83" s="40">
        <f t="shared" si="24"/>
        <v>883647.93389769935</v>
      </c>
      <c r="G83" s="40">
        <f t="shared" si="5"/>
        <v>883647.93397133669</v>
      </c>
      <c r="H83" s="1"/>
      <c r="I83" s="1">
        <f t="shared" si="11"/>
        <v>28</v>
      </c>
      <c r="J83" s="95">
        <f t="shared" si="12"/>
        <v>6444561.5573262665</v>
      </c>
      <c r="K83" s="95">
        <f t="shared" si="13"/>
        <v>150000.00033750021</v>
      </c>
      <c r="L83" s="95">
        <f t="shared" si="7"/>
        <v>6294561.5569887664</v>
      </c>
      <c r="M83" s="95">
        <f t="shared" si="8"/>
        <v>6335060.9555757018</v>
      </c>
      <c r="N83" s="1"/>
      <c r="O83" s="1">
        <f t="shared" si="14"/>
        <v>28</v>
      </c>
      <c r="P83" s="95">
        <f t="shared" si="15"/>
        <v>11122531.797723217</v>
      </c>
      <c r="Q83" s="95">
        <f t="shared" si="16"/>
        <v>150000.00033750021</v>
      </c>
      <c r="R83" s="95">
        <f t="shared" si="17"/>
        <v>10972531.797385717</v>
      </c>
      <c r="S83" s="95">
        <f t="shared" si="18"/>
        <v>11060028.306798682</v>
      </c>
      <c r="T83" s="1"/>
      <c r="U83" s="1">
        <f t="shared" si="19"/>
        <v>28</v>
      </c>
      <c r="V83" s="95">
        <f t="shared" si="20"/>
        <v>18611076.628101669</v>
      </c>
      <c r="W83" s="95">
        <f t="shared" si="21"/>
        <v>150000.00033750021</v>
      </c>
      <c r="X83" s="95">
        <f t="shared" si="22"/>
        <v>18461076.627764169</v>
      </c>
      <c r="Y83" s="95">
        <f t="shared" si="23"/>
        <v>18636249.961234495</v>
      </c>
      <c r="Z83" s="1"/>
      <c r="AA83" s="1"/>
      <c r="AB83" s="1"/>
      <c r="AC83" s="1"/>
      <c r="AD83" s="1"/>
      <c r="AE83" s="1"/>
      <c r="AF83" s="1"/>
      <c r="AG83" s="1"/>
      <c r="AH83" s="1"/>
    </row>
    <row r="84" spans="2:34" x14ac:dyDescent="0.35">
      <c r="B84" s="1"/>
      <c r="C84" s="1">
        <f t="shared" si="9"/>
        <v>29</v>
      </c>
      <c r="D84" s="40">
        <f t="shared" si="10"/>
        <v>883647.93397133669</v>
      </c>
      <c r="E84" s="104">
        <f t="shared" si="6"/>
        <v>150000.00035000022</v>
      </c>
      <c r="F84" s="40">
        <f t="shared" si="24"/>
        <v>733647.93362133647</v>
      </c>
      <c r="G84" s="40">
        <f t="shared" si="5"/>
        <v>733647.93368247384</v>
      </c>
      <c r="H84" s="1"/>
      <c r="I84" s="1">
        <f t="shared" si="11"/>
        <v>29</v>
      </c>
      <c r="J84" s="95">
        <f t="shared" si="12"/>
        <v>6335060.9555757018</v>
      </c>
      <c r="K84" s="95">
        <f t="shared" si="13"/>
        <v>150000.00035000022</v>
      </c>
      <c r="L84" s="95">
        <f t="shared" si="7"/>
        <v>6185060.9552257014</v>
      </c>
      <c r="M84" s="95">
        <f t="shared" si="8"/>
        <v>6224855.8236438306</v>
      </c>
      <c r="N84" s="1"/>
      <c r="O84" s="1">
        <f t="shared" si="14"/>
        <v>29</v>
      </c>
      <c r="P84" s="95">
        <f t="shared" si="15"/>
        <v>11060028.306798682</v>
      </c>
      <c r="Q84" s="95">
        <f t="shared" si="16"/>
        <v>150000.00035000022</v>
      </c>
      <c r="R84" s="95">
        <f t="shared" si="17"/>
        <v>10910028.306448681</v>
      </c>
      <c r="S84" s="95">
        <f t="shared" si="18"/>
        <v>10997026.404247617</v>
      </c>
      <c r="T84" s="1"/>
      <c r="U84" s="1">
        <f t="shared" si="19"/>
        <v>29</v>
      </c>
      <c r="V84" s="95">
        <f t="shared" si="20"/>
        <v>18636249.961234495</v>
      </c>
      <c r="W84" s="95">
        <f t="shared" si="21"/>
        <v>150000.00035000022</v>
      </c>
      <c r="X84" s="95">
        <f t="shared" si="22"/>
        <v>18486249.960884497</v>
      </c>
      <c r="Y84" s="95">
        <f t="shared" si="23"/>
        <v>18661662.158900272</v>
      </c>
      <c r="Z84" s="1"/>
      <c r="AA84" s="1"/>
      <c r="AB84" s="1"/>
      <c r="AC84" s="1"/>
      <c r="AD84" s="1"/>
      <c r="AE84" s="1"/>
      <c r="AF84" s="1"/>
      <c r="AG84" s="1"/>
      <c r="AH84" s="1"/>
    </row>
    <row r="85" spans="2:34" x14ac:dyDescent="0.35">
      <c r="B85" s="1"/>
      <c r="C85" s="1">
        <f t="shared" si="9"/>
        <v>30</v>
      </c>
      <c r="D85" s="40">
        <f t="shared" si="10"/>
        <v>733647.93368247384</v>
      </c>
      <c r="E85" s="104">
        <f t="shared" si="6"/>
        <v>150000.00036250023</v>
      </c>
      <c r="F85" s="40">
        <f t="shared" si="24"/>
        <v>583647.93331997364</v>
      </c>
      <c r="G85" s="40">
        <f t="shared" si="5"/>
        <v>583647.93336861092</v>
      </c>
      <c r="H85" s="1"/>
      <c r="I85" s="1">
        <f t="shared" si="11"/>
        <v>30</v>
      </c>
      <c r="J85" s="95">
        <f t="shared" si="12"/>
        <v>6224855.8236438306</v>
      </c>
      <c r="K85" s="95">
        <f t="shared" si="13"/>
        <v>150000.00036250023</v>
      </c>
      <c r="L85" s="95">
        <f t="shared" si="7"/>
        <v>6074855.8232813301</v>
      </c>
      <c r="M85" s="95">
        <f t="shared" si="8"/>
        <v>6113941.628562252</v>
      </c>
      <c r="N85" s="1"/>
      <c r="O85" s="1">
        <f t="shared" si="14"/>
        <v>30</v>
      </c>
      <c r="P85" s="95">
        <f t="shared" si="15"/>
        <v>10997026.404247617</v>
      </c>
      <c r="Q85" s="95">
        <f t="shared" si="16"/>
        <v>150000.00036250023</v>
      </c>
      <c r="R85" s="95">
        <f t="shared" si="17"/>
        <v>10847026.403885117</v>
      </c>
      <c r="S85" s="95">
        <f t="shared" si="18"/>
        <v>10933522.115665725</v>
      </c>
      <c r="T85" s="1"/>
      <c r="U85" s="1">
        <f t="shared" si="19"/>
        <v>30</v>
      </c>
      <c r="V85" s="95">
        <f t="shared" si="20"/>
        <v>18661662.158900272</v>
      </c>
      <c r="W85" s="95">
        <f t="shared" si="21"/>
        <v>150000.00036250023</v>
      </c>
      <c r="X85" s="95">
        <f t="shared" si="22"/>
        <v>18511662.158537772</v>
      </c>
      <c r="Y85" s="95">
        <f t="shared" si="23"/>
        <v>18687315.487635095</v>
      </c>
      <c r="Z85" s="1"/>
      <c r="AA85" s="1"/>
      <c r="AB85" s="1"/>
      <c r="AC85" s="1"/>
      <c r="AD85" s="1"/>
      <c r="AE85" s="1"/>
      <c r="AF85" s="1"/>
      <c r="AG85" s="1"/>
      <c r="AH85" s="1"/>
    </row>
    <row r="86" spans="2:34" x14ac:dyDescent="0.35">
      <c r="B86" s="1"/>
      <c r="C86" s="1">
        <f t="shared" si="9"/>
        <v>31</v>
      </c>
      <c r="D86" s="40">
        <f t="shared" si="10"/>
        <v>583647.93336861092</v>
      </c>
      <c r="E86" s="104">
        <f t="shared" si="6"/>
        <v>150000.00037500024</v>
      </c>
      <c r="F86" s="40">
        <f t="shared" si="24"/>
        <v>433647.93299361068</v>
      </c>
      <c r="G86" s="40">
        <f t="shared" si="5"/>
        <v>433647.93302974803</v>
      </c>
      <c r="H86" s="1"/>
      <c r="I86" s="1">
        <f t="shared" si="11"/>
        <v>31</v>
      </c>
      <c r="J86" s="95">
        <f t="shared" si="12"/>
        <v>6113941.628562252</v>
      </c>
      <c r="K86" s="95">
        <f t="shared" si="13"/>
        <v>150000.00037500024</v>
      </c>
      <c r="L86" s="95">
        <f t="shared" si="7"/>
        <v>5963941.6281872522</v>
      </c>
      <c r="M86" s="95">
        <f t="shared" si="8"/>
        <v>6002313.8081973121</v>
      </c>
      <c r="N86" s="1"/>
      <c r="O86" s="1">
        <f t="shared" si="14"/>
        <v>31</v>
      </c>
      <c r="P86" s="95">
        <f t="shared" si="15"/>
        <v>10933522.115665725</v>
      </c>
      <c r="Q86" s="95">
        <f t="shared" si="16"/>
        <v>150000.00037500024</v>
      </c>
      <c r="R86" s="95">
        <f t="shared" si="17"/>
        <v>10783522.115290724</v>
      </c>
      <c r="S86" s="95">
        <f t="shared" si="18"/>
        <v>10869511.434956241</v>
      </c>
      <c r="T86" s="1"/>
      <c r="U86" s="1">
        <f t="shared" si="19"/>
        <v>31</v>
      </c>
      <c r="V86" s="95">
        <f t="shared" si="20"/>
        <v>18687315.487635095</v>
      </c>
      <c r="W86" s="95">
        <f t="shared" si="21"/>
        <v>150000.00037500024</v>
      </c>
      <c r="X86" s="95">
        <f t="shared" si="22"/>
        <v>18537315.487260096</v>
      </c>
      <c r="Y86" s="95">
        <f t="shared" si="23"/>
        <v>18713212.235481746</v>
      </c>
      <c r="Z86" s="1"/>
      <c r="AA86" s="1"/>
      <c r="AB86" s="1"/>
      <c r="AC86" s="1"/>
      <c r="AD86" s="1"/>
      <c r="AE86" s="1"/>
      <c r="AF86" s="1"/>
      <c r="AG86" s="1"/>
      <c r="AH86" s="1"/>
    </row>
    <row r="87" spans="2:34" x14ac:dyDescent="0.35">
      <c r="B87" s="1"/>
      <c r="C87" s="1">
        <f t="shared" si="9"/>
        <v>32</v>
      </c>
      <c r="D87" s="40">
        <f t="shared" si="10"/>
        <v>433647.93302974803</v>
      </c>
      <c r="E87" s="104">
        <f t="shared" si="6"/>
        <v>150000.00038750024</v>
      </c>
      <c r="F87" s="40">
        <f t="shared" si="24"/>
        <v>283647.93264224776</v>
      </c>
      <c r="G87" s="40">
        <f t="shared" si="5"/>
        <v>283647.93266588508</v>
      </c>
      <c r="H87" s="1"/>
      <c r="I87" s="1">
        <f t="shared" si="11"/>
        <v>32</v>
      </c>
      <c r="J87" s="95">
        <f t="shared" si="12"/>
        <v>6002313.8081973121</v>
      </c>
      <c r="K87" s="95">
        <f t="shared" si="13"/>
        <v>150000.00038750024</v>
      </c>
      <c r="L87" s="95">
        <f t="shared" si="7"/>
        <v>5852313.807809812</v>
      </c>
      <c r="M87" s="95">
        <f t="shared" si="8"/>
        <v>5889967.7710624496</v>
      </c>
      <c r="N87" s="1"/>
      <c r="O87" s="1">
        <f t="shared" si="14"/>
        <v>32</v>
      </c>
      <c r="P87" s="95">
        <f t="shared" si="15"/>
        <v>10869511.434956241</v>
      </c>
      <c r="Q87" s="95">
        <f t="shared" si="16"/>
        <v>150000.00038750024</v>
      </c>
      <c r="R87" s="95">
        <f t="shared" si="17"/>
        <v>10719511.43456874</v>
      </c>
      <c r="S87" s="95">
        <f t="shared" si="18"/>
        <v>10804990.324077232</v>
      </c>
      <c r="T87" s="1"/>
      <c r="U87" s="1">
        <f t="shared" si="19"/>
        <v>32</v>
      </c>
      <c r="V87" s="95">
        <f t="shared" si="20"/>
        <v>18713212.235481746</v>
      </c>
      <c r="W87" s="95">
        <f t="shared" si="21"/>
        <v>150000.00038750024</v>
      </c>
      <c r="X87" s="95">
        <f t="shared" si="22"/>
        <v>18563212.235094246</v>
      </c>
      <c r="Y87" s="95">
        <f t="shared" si="23"/>
        <v>18739354.712193772</v>
      </c>
      <c r="Z87" s="1"/>
      <c r="AA87" s="1"/>
      <c r="AB87" s="1"/>
      <c r="AC87" s="1"/>
      <c r="AD87" s="1"/>
      <c r="AE87" s="1"/>
      <c r="AF87" s="1"/>
      <c r="AG87" s="1"/>
      <c r="AH87" s="1"/>
    </row>
    <row r="88" spans="2:34" x14ac:dyDescent="0.35">
      <c r="B88" s="1"/>
      <c r="C88" s="1">
        <f t="shared" si="9"/>
        <v>33</v>
      </c>
      <c r="D88" s="40">
        <f t="shared" si="10"/>
        <v>283647.93266588508</v>
      </c>
      <c r="E88" s="104">
        <f t="shared" si="6"/>
        <v>150000.00040000025</v>
      </c>
      <c r="F88" s="40">
        <f t="shared" si="24"/>
        <v>133647.93226588483</v>
      </c>
      <c r="G88" s="40">
        <f t="shared" si="5"/>
        <v>133647.93227702216</v>
      </c>
      <c r="H88" s="1"/>
      <c r="I88" s="1">
        <f t="shared" si="11"/>
        <v>33</v>
      </c>
      <c r="J88" s="95">
        <f t="shared" si="12"/>
        <v>5889967.7710624496</v>
      </c>
      <c r="K88" s="95">
        <f t="shared" si="13"/>
        <v>150000.00040000025</v>
      </c>
      <c r="L88" s="95">
        <f t="shared" si="7"/>
        <v>5739967.7706624493</v>
      </c>
      <c r="M88" s="95">
        <f t="shared" si="8"/>
        <v>5776898.8961293409</v>
      </c>
      <c r="N88" s="1"/>
      <c r="O88" s="1">
        <f t="shared" si="14"/>
        <v>33</v>
      </c>
      <c r="P88" s="95">
        <f t="shared" si="15"/>
        <v>10804990.324077232</v>
      </c>
      <c r="Q88" s="95">
        <f t="shared" si="16"/>
        <v>150000.00040000025</v>
      </c>
      <c r="R88" s="95">
        <f t="shared" si="17"/>
        <v>10654990.323677231</v>
      </c>
      <c r="S88" s="95">
        <f t="shared" si="18"/>
        <v>10739954.712786844</v>
      </c>
      <c r="T88" s="1"/>
      <c r="U88" s="1">
        <f t="shared" si="19"/>
        <v>33</v>
      </c>
      <c r="V88" s="95">
        <f t="shared" si="20"/>
        <v>18739354.712193772</v>
      </c>
      <c r="W88" s="95">
        <f t="shared" si="21"/>
        <v>150000.00040000025</v>
      </c>
      <c r="X88" s="95">
        <f t="shared" si="22"/>
        <v>18589354.711793773</v>
      </c>
      <c r="Y88" s="95">
        <f t="shared" si="23"/>
        <v>18765745.249441501</v>
      </c>
      <c r="Z88" s="1"/>
      <c r="AA88" s="1"/>
      <c r="AB88" s="1"/>
      <c r="AC88" s="1"/>
      <c r="AD88" s="1"/>
      <c r="AE88" s="1"/>
      <c r="AF88" s="1"/>
      <c r="AG88" s="1"/>
      <c r="AH88" s="1"/>
    </row>
    <row r="89" spans="2:34" x14ac:dyDescent="0.35">
      <c r="B89" s="1"/>
      <c r="C89" s="1">
        <f t="shared" si="9"/>
        <v>34</v>
      </c>
      <c r="D89" s="40">
        <f t="shared" si="10"/>
        <v>133647.93227702216</v>
      </c>
      <c r="E89" s="104">
        <f t="shared" si="6"/>
        <v>150000.00041250026</v>
      </c>
      <c r="F89" s="40">
        <f t="shared" si="24"/>
        <v>-16352.068135478097</v>
      </c>
      <c r="G89" s="40">
        <f t="shared" si="5"/>
        <v>-16352.06813684077</v>
      </c>
      <c r="H89" s="1"/>
      <c r="I89" s="1">
        <f t="shared" si="11"/>
        <v>34</v>
      </c>
      <c r="J89" s="95">
        <f t="shared" si="12"/>
        <v>5776898.8961293409</v>
      </c>
      <c r="K89" s="95">
        <f t="shared" si="13"/>
        <v>150000.00041250026</v>
      </c>
      <c r="L89" s="95">
        <f t="shared" si="7"/>
        <v>5626898.8957168404</v>
      </c>
      <c r="M89" s="95">
        <f t="shared" si="8"/>
        <v>5663102.532637828</v>
      </c>
      <c r="N89" s="1"/>
      <c r="O89" s="1">
        <f t="shared" si="14"/>
        <v>34</v>
      </c>
      <c r="P89" s="95">
        <f t="shared" si="15"/>
        <v>10739954.712786844</v>
      </c>
      <c r="Q89" s="95">
        <f t="shared" si="16"/>
        <v>150000.00041250026</v>
      </c>
      <c r="R89" s="95">
        <f t="shared" si="17"/>
        <v>10589954.712374344</v>
      </c>
      <c r="S89" s="95">
        <f t="shared" si="18"/>
        <v>10674400.498386549</v>
      </c>
      <c r="T89" s="1"/>
      <c r="U89" s="1">
        <f t="shared" si="19"/>
        <v>34</v>
      </c>
      <c r="V89" s="95">
        <f t="shared" si="20"/>
        <v>18765745.249441501</v>
      </c>
      <c r="W89" s="95">
        <f t="shared" si="21"/>
        <v>150000.00041250026</v>
      </c>
      <c r="X89" s="95">
        <f t="shared" si="22"/>
        <v>18615745.249028999</v>
      </c>
      <c r="Y89" s="95">
        <f t="shared" si="23"/>
        <v>18792386.201019984</v>
      </c>
      <c r="Z89" s="1"/>
      <c r="AA89" s="1"/>
      <c r="AB89" s="1"/>
      <c r="AC89" s="1"/>
      <c r="AD89" s="1"/>
      <c r="AE89" s="1"/>
      <c r="AF89" s="1"/>
      <c r="AG89" s="1"/>
      <c r="AH89" s="1"/>
    </row>
    <row r="90" spans="2:34" x14ac:dyDescent="0.35">
      <c r="B90" s="1"/>
      <c r="C90" s="1">
        <f t="shared" si="9"/>
        <v>35</v>
      </c>
      <c r="D90" s="40">
        <f t="shared" si="10"/>
        <v>-16352.06813684077</v>
      </c>
      <c r="E90" s="104">
        <f t="shared" si="6"/>
        <v>150000.00042500027</v>
      </c>
      <c r="F90" s="40">
        <f t="shared" si="24"/>
        <v>-166352.06856184104</v>
      </c>
      <c r="G90" s="40">
        <f t="shared" si="5"/>
        <v>-166352.06857570371</v>
      </c>
      <c r="H90" s="1"/>
      <c r="I90" s="1">
        <f t="shared" si="11"/>
        <v>35</v>
      </c>
      <c r="J90" s="95">
        <f t="shared" si="12"/>
        <v>5663102.532637828</v>
      </c>
      <c r="K90" s="95">
        <f t="shared" si="13"/>
        <v>150000.00042500027</v>
      </c>
      <c r="L90" s="95">
        <f t="shared" si="7"/>
        <v>5513102.5322128274</v>
      </c>
      <c r="M90" s="95">
        <f t="shared" si="8"/>
        <v>5548573.9999046205</v>
      </c>
      <c r="N90" s="1"/>
      <c r="O90" s="1">
        <f t="shared" si="14"/>
        <v>35</v>
      </c>
      <c r="P90" s="95">
        <f t="shared" si="15"/>
        <v>10674400.498386549</v>
      </c>
      <c r="Q90" s="95">
        <f t="shared" si="16"/>
        <v>150000.00042500027</v>
      </c>
      <c r="R90" s="95">
        <f t="shared" si="17"/>
        <v>10524400.497961549</v>
      </c>
      <c r="S90" s="95">
        <f t="shared" si="18"/>
        <v>10608323.54546232</v>
      </c>
      <c r="T90" s="1"/>
      <c r="U90" s="1">
        <f t="shared" si="19"/>
        <v>35</v>
      </c>
      <c r="V90" s="95">
        <f t="shared" si="20"/>
        <v>18792386.201019984</v>
      </c>
      <c r="W90" s="95">
        <f t="shared" si="21"/>
        <v>150000.00042500027</v>
      </c>
      <c r="X90" s="95">
        <f t="shared" si="22"/>
        <v>18642386.200594984</v>
      </c>
      <c r="Y90" s="95">
        <f t="shared" si="23"/>
        <v>18819279.943058956</v>
      </c>
      <c r="Z90" s="1"/>
      <c r="AA90" s="1"/>
      <c r="AB90" s="1"/>
      <c r="AC90" s="1"/>
      <c r="AD90" s="1"/>
      <c r="AE90" s="1"/>
      <c r="AF90" s="1"/>
      <c r="AG90" s="1"/>
      <c r="AH90" s="1"/>
    </row>
    <row r="91" spans="2:34" x14ac:dyDescent="0.35">
      <c r="B91" s="1"/>
      <c r="C91" s="1">
        <f t="shared" si="9"/>
        <v>36</v>
      </c>
      <c r="D91" s="40">
        <f t="shared" si="10"/>
        <v>-166352.06857570371</v>
      </c>
      <c r="E91" s="104">
        <f t="shared" si="6"/>
        <v>150000.00043750028</v>
      </c>
      <c r="F91" s="40">
        <f t="shared" si="24"/>
        <v>-316352.06901320396</v>
      </c>
      <c r="G91" s="40">
        <f t="shared" si="5"/>
        <v>-316352.06903956662</v>
      </c>
      <c r="H91" s="1"/>
      <c r="I91" s="1">
        <f t="shared" si="11"/>
        <v>36</v>
      </c>
      <c r="J91" s="95">
        <f t="shared" si="12"/>
        <v>5548573.9999046205</v>
      </c>
      <c r="K91" s="95">
        <f t="shared" si="13"/>
        <v>150000.00043750028</v>
      </c>
      <c r="L91" s="95">
        <f t="shared" si="7"/>
        <v>5398573.9994671205</v>
      </c>
      <c r="M91" s="95">
        <f t="shared" si="8"/>
        <v>5433308.5871307738</v>
      </c>
      <c r="N91" s="1"/>
      <c r="O91" s="1">
        <f t="shared" si="14"/>
        <v>36</v>
      </c>
      <c r="P91" s="95">
        <f t="shared" si="15"/>
        <v>10608323.54546232</v>
      </c>
      <c r="Q91" s="95">
        <f t="shared" si="16"/>
        <v>150000.00043750028</v>
      </c>
      <c r="R91" s="95">
        <f t="shared" si="17"/>
        <v>10458323.54502482</v>
      </c>
      <c r="S91" s="95">
        <f t="shared" si="18"/>
        <v>10541719.685623758</v>
      </c>
      <c r="T91" s="1"/>
      <c r="U91" s="1">
        <f t="shared" si="19"/>
        <v>36</v>
      </c>
      <c r="V91" s="95">
        <f t="shared" si="20"/>
        <v>18819279.943058956</v>
      </c>
      <c r="W91" s="95">
        <f t="shared" si="21"/>
        <v>150000.00043750028</v>
      </c>
      <c r="X91" s="95">
        <f t="shared" si="22"/>
        <v>18669279.942621455</v>
      </c>
      <c r="Y91" s="95">
        <f t="shared" si="23"/>
        <v>18846428.874234755</v>
      </c>
      <c r="Z91" s="1"/>
      <c r="AA91" s="1"/>
      <c r="AB91" s="1"/>
      <c r="AC91" s="1"/>
      <c r="AD91" s="1"/>
      <c r="AE91" s="1"/>
      <c r="AF91" s="1"/>
      <c r="AG91" s="1"/>
      <c r="AH91" s="1"/>
    </row>
    <row r="92" spans="2:34" x14ac:dyDescent="0.35">
      <c r="B92" s="1"/>
      <c r="C92" s="1"/>
      <c r="D92" s="40"/>
      <c r="E92" s="1"/>
      <c r="F92" s="40"/>
      <c r="G92" s="40"/>
      <c r="H92" s="1"/>
      <c r="I92" s="1">
        <f t="shared" si="11"/>
        <v>37</v>
      </c>
      <c r="J92" s="109">
        <f>M91</f>
        <v>5433308.5871307738</v>
      </c>
      <c r="K92" s="95">
        <f t="shared" si="13"/>
        <v>150000.00045000028</v>
      </c>
      <c r="L92" s="95">
        <f t="shared" si="7"/>
        <v>5283308.5866807736</v>
      </c>
      <c r="M92" s="95">
        <f t="shared" si="8"/>
        <v>5317301.5532079171</v>
      </c>
      <c r="N92" s="1"/>
      <c r="O92" s="1">
        <f t="shared" si="14"/>
        <v>37</v>
      </c>
      <c r="P92" s="95">
        <f t="shared" si="15"/>
        <v>10541719.685623758</v>
      </c>
      <c r="Q92" s="95">
        <f t="shared" si="16"/>
        <v>150000.00045000028</v>
      </c>
      <c r="R92" s="95">
        <f t="shared" si="17"/>
        <v>10391719.685173757</v>
      </c>
      <c r="S92" s="95">
        <f t="shared" si="18"/>
        <v>10474584.717241136</v>
      </c>
      <c r="T92" s="1"/>
      <c r="U92" s="1">
        <f t="shared" si="19"/>
        <v>37</v>
      </c>
      <c r="V92" s="95">
        <f t="shared" si="20"/>
        <v>18846428.874234755</v>
      </c>
      <c r="W92" s="95">
        <f t="shared" si="21"/>
        <v>150000.00045000028</v>
      </c>
      <c r="X92" s="95">
        <f t="shared" si="22"/>
        <v>18696428.873784754</v>
      </c>
      <c r="Y92" s="95">
        <f t="shared" si="23"/>
        <v>18873835.415984258</v>
      </c>
      <c r="Z92" s="1"/>
      <c r="AA92" s="1"/>
      <c r="AB92" s="1"/>
      <c r="AC92" s="1"/>
      <c r="AD92" s="1"/>
      <c r="AE92" s="1"/>
      <c r="AF92" s="1"/>
      <c r="AG92" s="1"/>
      <c r="AH92" s="1"/>
    </row>
    <row r="93" spans="2:34" x14ac:dyDescent="0.35">
      <c r="H93" s="110"/>
      <c r="I93" s="1">
        <f t="shared" si="11"/>
        <v>38</v>
      </c>
      <c r="J93" s="95">
        <f t="shared" si="12"/>
        <v>5317301.5532079171</v>
      </c>
      <c r="K93" s="95">
        <f t="shared" si="13"/>
        <v>150000.00046250029</v>
      </c>
      <c r="L93" s="95">
        <f t="shared" si="7"/>
        <v>5167301.5527454168</v>
      </c>
      <c r="M93" s="95">
        <f t="shared" si="8"/>
        <v>5200548.1265232479</v>
      </c>
      <c r="N93" s="1"/>
      <c r="O93" s="1">
        <f t="shared" si="14"/>
        <v>38</v>
      </c>
      <c r="P93" s="95">
        <f t="shared" si="15"/>
        <v>10474584.717241136</v>
      </c>
      <c r="Q93" s="95">
        <f t="shared" si="16"/>
        <v>150000.00046250029</v>
      </c>
      <c r="R93" s="95">
        <f t="shared" si="17"/>
        <v>10324584.716778636</v>
      </c>
      <c r="S93" s="95">
        <f t="shared" si="18"/>
        <v>10406914.405180342</v>
      </c>
      <c r="T93" s="1"/>
      <c r="U93" s="1">
        <f t="shared" si="19"/>
        <v>38</v>
      </c>
      <c r="V93" s="95">
        <f t="shared" si="20"/>
        <v>18873835.415984258</v>
      </c>
      <c r="W93" s="95">
        <f t="shared" si="21"/>
        <v>150000.00046250029</v>
      </c>
      <c r="X93" s="95">
        <f t="shared" si="22"/>
        <v>18723835.41552176</v>
      </c>
      <c r="Y93" s="95">
        <f t="shared" si="23"/>
        <v>18901502.012720857</v>
      </c>
      <c r="Z93" s="1"/>
      <c r="AA93" s="1"/>
      <c r="AB93" s="1"/>
      <c r="AC93" s="1"/>
      <c r="AD93" s="1"/>
      <c r="AE93" s="1"/>
      <c r="AF93" s="1"/>
      <c r="AG93" s="1"/>
      <c r="AH93" s="1"/>
    </row>
    <row r="94" spans="2:34" x14ac:dyDescent="0.35">
      <c r="H94" s="1"/>
      <c r="I94" s="1">
        <f t="shared" si="11"/>
        <v>39</v>
      </c>
      <c r="J94" s="95">
        <f t="shared" si="12"/>
        <v>5200548.1265232479</v>
      </c>
      <c r="K94" s="95">
        <f t="shared" si="13"/>
        <v>150000.0004750003</v>
      </c>
      <c r="L94" s="95">
        <f t="shared" si="7"/>
        <v>5050548.1260482473</v>
      </c>
      <c r="M94" s="95">
        <f t="shared" si="8"/>
        <v>5083043.5047632633</v>
      </c>
      <c r="N94" s="1"/>
      <c r="O94" s="1">
        <f t="shared" si="14"/>
        <v>39</v>
      </c>
      <c r="P94" s="95">
        <f t="shared" si="15"/>
        <v>10406914.405180342</v>
      </c>
      <c r="Q94" s="95">
        <f t="shared" si="16"/>
        <v>150000.0004750003</v>
      </c>
      <c r="R94" s="95">
        <f t="shared" si="17"/>
        <v>10256914.404705342</v>
      </c>
      <c r="S94" s="95">
        <f t="shared" si="18"/>
        <v>10338704.480535708</v>
      </c>
      <c r="T94" s="1"/>
      <c r="U94" s="1">
        <f t="shared" si="19"/>
        <v>39</v>
      </c>
      <c r="V94" s="95">
        <f t="shared" si="20"/>
        <v>18901502.012720857</v>
      </c>
      <c r="W94" s="95">
        <f t="shared" si="21"/>
        <v>150000.0004750003</v>
      </c>
      <c r="X94" s="95">
        <f t="shared" si="22"/>
        <v>18751502.012245856</v>
      </c>
      <c r="Y94" s="95">
        <f t="shared" si="23"/>
        <v>18929431.132052474</v>
      </c>
      <c r="Z94" s="1"/>
      <c r="AA94" s="1"/>
      <c r="AB94" s="1"/>
      <c r="AC94" s="1"/>
      <c r="AD94" s="1"/>
      <c r="AE94" s="1"/>
      <c r="AF94" s="1"/>
      <c r="AG94" s="1"/>
      <c r="AH94" s="1"/>
    </row>
    <row r="95" spans="2:34" x14ac:dyDescent="0.35">
      <c r="H95" s="1"/>
      <c r="I95" s="1">
        <f t="shared" si="11"/>
        <v>40</v>
      </c>
      <c r="J95" s="95">
        <f t="shared" si="12"/>
        <v>5083043.5047632633</v>
      </c>
      <c r="K95" s="95">
        <f t="shared" si="13"/>
        <v>150000.00048750031</v>
      </c>
      <c r="L95" s="95">
        <f t="shared" si="7"/>
        <v>4933043.5042757634</v>
      </c>
      <c r="M95" s="95">
        <f t="shared" si="8"/>
        <v>4964782.8547162302</v>
      </c>
      <c r="N95" s="1"/>
      <c r="O95" s="1">
        <f t="shared" si="14"/>
        <v>40</v>
      </c>
      <c r="P95" s="95">
        <f t="shared" si="15"/>
        <v>10338704.480535708</v>
      </c>
      <c r="Q95" s="95">
        <f t="shared" si="16"/>
        <v>150000.00048750031</v>
      </c>
      <c r="R95" s="95">
        <f t="shared" si="17"/>
        <v>10188704.480048208</v>
      </c>
      <c r="S95" s="95">
        <f t="shared" si="18"/>
        <v>10269950.640360713</v>
      </c>
      <c r="T95" s="1"/>
      <c r="U95" s="1">
        <f t="shared" si="19"/>
        <v>40</v>
      </c>
      <c r="V95" s="95">
        <f t="shared" si="20"/>
        <v>18929431.132052474</v>
      </c>
      <c r="W95" s="95">
        <f t="shared" si="21"/>
        <v>150000.00048750031</v>
      </c>
      <c r="X95" s="95">
        <f t="shared" si="22"/>
        <v>18779431.131564975</v>
      </c>
      <c r="Y95" s="95">
        <f t="shared" si="23"/>
        <v>18957625.265001658</v>
      </c>
      <c r="Z95" s="1"/>
      <c r="AA95" s="1"/>
      <c r="AB95" s="1"/>
      <c r="AC95" s="1"/>
      <c r="AD95" s="1"/>
      <c r="AE95" s="1"/>
      <c r="AF95" s="1"/>
      <c r="AG95" s="1"/>
      <c r="AH95" s="1"/>
    </row>
    <row r="96" spans="2:34" x14ac:dyDescent="0.35">
      <c r="H96" s="1"/>
      <c r="I96" s="1">
        <f t="shared" si="11"/>
        <v>41</v>
      </c>
      <c r="J96" s="95">
        <f t="shared" si="12"/>
        <v>4964782.8547162302</v>
      </c>
      <c r="K96" s="95">
        <f t="shared" si="13"/>
        <v>150000.00050000031</v>
      </c>
      <c r="L96" s="95">
        <f t="shared" si="7"/>
        <v>4814782.8542162301</v>
      </c>
      <c r="M96" s="95">
        <f t="shared" si="8"/>
        <v>4845761.3120733853</v>
      </c>
      <c r="N96" s="1"/>
      <c r="O96" s="1">
        <f t="shared" si="14"/>
        <v>41</v>
      </c>
      <c r="P96" s="95">
        <f t="shared" si="15"/>
        <v>10269950.640360713</v>
      </c>
      <c r="Q96" s="95">
        <f t="shared" si="16"/>
        <v>150000.00050000031</v>
      </c>
      <c r="R96" s="95">
        <f t="shared" si="17"/>
        <v>10119950.639860712</v>
      </c>
      <c r="S96" s="95">
        <f t="shared" si="18"/>
        <v>10200648.547396535</v>
      </c>
      <c r="T96" s="1"/>
      <c r="U96" s="1">
        <f t="shared" si="19"/>
        <v>41</v>
      </c>
      <c r="V96" s="95">
        <f t="shared" si="20"/>
        <v>18957625.265001658</v>
      </c>
      <c r="W96" s="95">
        <f t="shared" si="21"/>
        <v>150000.00050000031</v>
      </c>
      <c r="X96" s="95">
        <f t="shared" si="22"/>
        <v>18807625.264501657</v>
      </c>
      <c r="Y96" s="95">
        <f t="shared" si="23"/>
        <v>18986086.926227745</v>
      </c>
      <c r="Z96" s="1"/>
      <c r="AA96" s="1"/>
      <c r="AB96" s="1"/>
      <c r="AC96" s="1"/>
      <c r="AD96" s="1"/>
      <c r="AE96" s="1"/>
      <c r="AF96" s="1"/>
      <c r="AG96" s="1"/>
      <c r="AH96" s="1"/>
    </row>
    <row r="97" spans="8:34" x14ac:dyDescent="0.35">
      <c r="H97" s="1"/>
      <c r="I97" s="1">
        <f t="shared" si="11"/>
        <v>42</v>
      </c>
      <c r="J97" s="95">
        <f t="shared" si="12"/>
        <v>4845761.3120733853</v>
      </c>
      <c r="K97" s="95">
        <f t="shared" si="13"/>
        <v>150000.00051250032</v>
      </c>
      <c r="L97" s="95">
        <f t="shared" si="7"/>
        <v>4695761.311560885</v>
      </c>
      <c r="M97" s="95">
        <f t="shared" si="8"/>
        <v>4725973.9812288573</v>
      </c>
      <c r="N97" s="1"/>
      <c r="O97" s="1">
        <f t="shared" si="14"/>
        <v>42</v>
      </c>
      <c r="P97" s="95">
        <f t="shared" si="15"/>
        <v>10200648.547396535</v>
      </c>
      <c r="Q97" s="95">
        <f t="shared" si="16"/>
        <v>150000.00051250032</v>
      </c>
      <c r="R97" s="95">
        <f t="shared" si="17"/>
        <v>10050648.546884034</v>
      </c>
      <c r="S97" s="95">
        <f t="shared" si="18"/>
        <v>10130793.829798445</v>
      </c>
      <c r="T97" s="1"/>
      <c r="U97" s="1">
        <f t="shared" si="19"/>
        <v>42</v>
      </c>
      <c r="V97" s="95">
        <f t="shared" si="20"/>
        <v>18986086.926227745</v>
      </c>
      <c r="W97" s="95">
        <f t="shared" si="21"/>
        <v>150000.00051250032</v>
      </c>
      <c r="X97" s="95">
        <f t="shared" si="22"/>
        <v>18836086.925715245</v>
      </c>
      <c r="Y97" s="95">
        <f t="shared" si="23"/>
        <v>19014818.654251166</v>
      </c>
      <c r="Z97" s="1"/>
      <c r="AA97" s="1"/>
      <c r="AB97" s="1"/>
      <c r="AC97" s="1"/>
      <c r="AD97" s="1"/>
      <c r="AE97" s="1"/>
      <c r="AF97" s="1"/>
      <c r="AG97" s="1"/>
      <c r="AH97" s="1"/>
    </row>
    <row r="98" spans="8:34" x14ac:dyDescent="0.35">
      <c r="H98" s="1"/>
      <c r="I98" s="1">
        <f t="shared" si="11"/>
        <v>43</v>
      </c>
      <c r="J98" s="95">
        <f t="shared" si="12"/>
        <v>4725973.9812288573</v>
      </c>
      <c r="K98" s="95">
        <f t="shared" si="13"/>
        <v>150000.00052500033</v>
      </c>
      <c r="L98" s="95">
        <f t="shared" si="7"/>
        <v>4575973.9807038568</v>
      </c>
      <c r="M98" s="95">
        <f t="shared" si="8"/>
        <v>4605415.9350782977</v>
      </c>
      <c r="N98" s="1"/>
      <c r="O98" s="1">
        <f t="shared" si="14"/>
        <v>43</v>
      </c>
      <c r="P98" s="95">
        <f t="shared" si="15"/>
        <v>10130793.829798445</v>
      </c>
      <c r="Q98" s="95">
        <f t="shared" si="16"/>
        <v>150000.00052500033</v>
      </c>
      <c r="R98" s="95">
        <f t="shared" si="17"/>
        <v>9980793.8292734455</v>
      </c>
      <c r="S98" s="95">
        <f t="shared" si="18"/>
        <v>10060382.080860008</v>
      </c>
      <c r="T98" s="1"/>
      <c r="U98" s="1">
        <f t="shared" si="19"/>
        <v>43</v>
      </c>
      <c r="V98" s="95">
        <f t="shared" si="20"/>
        <v>19014818.654251166</v>
      </c>
      <c r="W98" s="95">
        <f t="shared" si="21"/>
        <v>150000.00052500033</v>
      </c>
      <c r="X98" s="95">
        <f t="shared" si="22"/>
        <v>18864818.653726164</v>
      </c>
      <c r="Y98" s="95">
        <f t="shared" si="23"/>
        <v>19043823.011679832</v>
      </c>
      <c r="Z98" s="1"/>
      <c r="AA98" s="1"/>
      <c r="AB98" s="1"/>
      <c r="AC98" s="1"/>
      <c r="AD98" s="1"/>
      <c r="AE98" s="1"/>
      <c r="AF98" s="1"/>
      <c r="AG98" s="1"/>
      <c r="AH98" s="1"/>
    </row>
    <row r="99" spans="8:34" x14ac:dyDescent="0.35">
      <c r="H99" s="1"/>
      <c r="I99" s="1">
        <f t="shared" si="11"/>
        <v>44</v>
      </c>
      <c r="J99" s="95">
        <f t="shared" si="12"/>
        <v>4605415.9350782977</v>
      </c>
      <c r="K99" s="95">
        <f t="shared" si="13"/>
        <v>150000.00053750034</v>
      </c>
      <c r="L99" s="95">
        <f t="shared" si="7"/>
        <v>4455415.934540797</v>
      </c>
      <c r="M99" s="95">
        <f t="shared" si="8"/>
        <v>4484082.214816222</v>
      </c>
      <c r="N99" s="1"/>
      <c r="O99" s="1">
        <f t="shared" si="14"/>
        <v>44</v>
      </c>
      <c r="P99" s="95">
        <f t="shared" si="15"/>
        <v>10060382.080860008</v>
      </c>
      <c r="Q99" s="95">
        <f t="shared" si="16"/>
        <v>150000.00053750034</v>
      </c>
      <c r="R99" s="95">
        <f t="shared" si="17"/>
        <v>9910382.0803225078</v>
      </c>
      <c r="S99" s="95">
        <f t="shared" si="18"/>
        <v>9989408.8587350901</v>
      </c>
      <c r="T99" s="1"/>
      <c r="U99" s="1">
        <f t="shared" si="19"/>
        <v>44</v>
      </c>
      <c r="V99" s="95">
        <f t="shared" si="20"/>
        <v>19043823.011679832</v>
      </c>
      <c r="W99" s="95">
        <f t="shared" si="21"/>
        <v>150000.00053750034</v>
      </c>
      <c r="X99" s="95">
        <f t="shared" si="22"/>
        <v>18893823.011142332</v>
      </c>
      <c r="Y99" s="95">
        <f t="shared" si="23"/>
        <v>19073102.585437723</v>
      </c>
      <c r="Z99" s="1"/>
      <c r="AA99" s="1"/>
      <c r="AB99" s="1"/>
      <c r="AC99" s="1"/>
      <c r="AD99" s="1"/>
      <c r="AE99" s="1"/>
      <c r="AF99" s="1"/>
      <c r="AG99" s="1"/>
      <c r="AH99" s="1"/>
    </row>
    <row r="100" spans="8:34" x14ac:dyDescent="0.35">
      <c r="H100" s="1"/>
      <c r="I100" s="1">
        <f t="shared" si="11"/>
        <v>45</v>
      </c>
      <c r="J100" s="95">
        <f t="shared" si="12"/>
        <v>4484082.214816222</v>
      </c>
      <c r="K100" s="95">
        <f t="shared" si="13"/>
        <v>150000.00055000035</v>
      </c>
      <c r="L100" s="95">
        <f t="shared" si="7"/>
        <v>4334082.214266222</v>
      </c>
      <c r="M100" s="95">
        <f t="shared" si="8"/>
        <v>4361967.8297320409</v>
      </c>
      <c r="N100" s="1"/>
      <c r="O100" s="1">
        <f t="shared" si="14"/>
        <v>45</v>
      </c>
      <c r="P100" s="95">
        <f t="shared" si="15"/>
        <v>9989408.8587350901</v>
      </c>
      <c r="Q100" s="95">
        <f t="shared" si="16"/>
        <v>150000.00055000035</v>
      </c>
      <c r="R100" s="95">
        <f t="shared" si="17"/>
        <v>9839408.8581850901</v>
      </c>
      <c r="S100" s="95">
        <f t="shared" si="18"/>
        <v>9917869.6861576568</v>
      </c>
      <c r="T100" s="1"/>
      <c r="U100" s="1">
        <f t="shared" si="19"/>
        <v>45</v>
      </c>
      <c r="V100" s="95">
        <f t="shared" si="20"/>
        <v>19073102.585437723</v>
      </c>
      <c r="W100" s="95">
        <f t="shared" si="21"/>
        <v>150000.00055000035</v>
      </c>
      <c r="X100" s="95">
        <f t="shared" si="22"/>
        <v>18923102.584887721</v>
      </c>
      <c r="Y100" s="95">
        <f t="shared" si="23"/>
        <v>19102659.986995593</v>
      </c>
      <c r="Z100" s="1"/>
      <c r="AA100" s="1"/>
      <c r="AB100" s="1"/>
      <c r="AC100" s="1"/>
      <c r="AD100" s="1"/>
      <c r="AE100" s="1"/>
      <c r="AF100" s="1"/>
      <c r="AG100" s="1"/>
      <c r="AH100" s="1"/>
    </row>
    <row r="101" spans="8:34" x14ac:dyDescent="0.35">
      <c r="H101" s="1"/>
      <c r="I101" s="1">
        <f t="shared" si="11"/>
        <v>46</v>
      </c>
      <c r="J101" s="95">
        <f t="shared" si="12"/>
        <v>4361967.8297320409</v>
      </c>
      <c r="K101" s="95">
        <f t="shared" si="13"/>
        <v>150000.00056250035</v>
      </c>
      <c r="L101" s="95">
        <f t="shared" si="7"/>
        <v>4211967.8291695407</v>
      </c>
      <c r="M101" s="95">
        <f t="shared" si="8"/>
        <v>4239067.7570047835</v>
      </c>
      <c r="N101" s="1"/>
      <c r="O101" s="1">
        <f t="shared" si="14"/>
        <v>46</v>
      </c>
      <c r="P101" s="95">
        <f t="shared" si="15"/>
        <v>9917869.6861576568</v>
      </c>
      <c r="Q101" s="95">
        <f t="shared" si="16"/>
        <v>150000.00056250035</v>
      </c>
      <c r="R101" s="95">
        <f t="shared" si="17"/>
        <v>9767869.6855951566</v>
      </c>
      <c r="S101" s="95">
        <f t="shared" si="18"/>
        <v>9845760.050159324</v>
      </c>
      <c r="T101" s="1"/>
      <c r="U101" s="1">
        <f t="shared" si="19"/>
        <v>46</v>
      </c>
      <c r="V101" s="95">
        <f t="shared" si="20"/>
        <v>19102659.986995593</v>
      </c>
      <c r="W101" s="95">
        <f t="shared" si="21"/>
        <v>150000.00056250035</v>
      </c>
      <c r="X101" s="95">
        <f t="shared" si="22"/>
        <v>18952659.986433093</v>
      </c>
      <c r="Y101" s="95">
        <f t="shared" si="23"/>
        <v>19132497.852603912</v>
      </c>
      <c r="Z101" s="1"/>
      <c r="AA101" s="1"/>
      <c r="AB101" s="1"/>
      <c r="AC101" s="1"/>
      <c r="AD101" s="1"/>
      <c r="AE101" s="1"/>
      <c r="AF101" s="1"/>
      <c r="AG101" s="1"/>
      <c r="AH101" s="1"/>
    </row>
    <row r="102" spans="8:34" x14ac:dyDescent="0.35">
      <c r="H102" s="1"/>
      <c r="I102" s="1">
        <f t="shared" si="11"/>
        <v>47</v>
      </c>
      <c r="J102" s="95">
        <f t="shared" si="12"/>
        <v>4239067.7570047835</v>
      </c>
      <c r="K102" s="95">
        <f t="shared" si="13"/>
        <v>150000.00057500036</v>
      </c>
      <c r="L102" s="95">
        <f t="shared" si="7"/>
        <v>4089067.7564297831</v>
      </c>
      <c r="M102" s="95">
        <f t="shared" si="8"/>
        <v>4115376.9414964966</v>
      </c>
      <c r="N102" s="1"/>
      <c r="O102" s="1">
        <f t="shared" si="14"/>
        <v>47</v>
      </c>
      <c r="P102" s="95">
        <f t="shared" si="15"/>
        <v>9845760.050159324</v>
      </c>
      <c r="Q102" s="95">
        <f t="shared" si="16"/>
        <v>150000.00057500036</v>
      </c>
      <c r="R102" s="95">
        <f t="shared" si="17"/>
        <v>9695760.0495843235</v>
      </c>
      <c r="S102" s="95">
        <f t="shared" si="18"/>
        <v>9773075.401784664</v>
      </c>
      <c r="T102" s="1"/>
      <c r="U102" s="1">
        <f t="shared" si="19"/>
        <v>47</v>
      </c>
      <c r="V102" s="95">
        <f t="shared" si="20"/>
        <v>19132497.852603912</v>
      </c>
      <c r="W102" s="95">
        <f t="shared" si="21"/>
        <v>150000.00057500036</v>
      </c>
      <c r="X102" s="95">
        <f t="shared" si="22"/>
        <v>18982497.852028914</v>
      </c>
      <c r="Y102" s="95">
        <f t="shared" si="23"/>
        <v>19162618.843527984</v>
      </c>
      <c r="Z102" s="1"/>
      <c r="AA102" s="1"/>
      <c r="AB102" s="1"/>
      <c r="AC102" s="1"/>
      <c r="AD102" s="1"/>
      <c r="AE102" s="1"/>
      <c r="AF102" s="1"/>
      <c r="AG102" s="1"/>
      <c r="AH102" s="1"/>
    </row>
    <row r="103" spans="8:34" x14ac:dyDescent="0.35">
      <c r="H103" s="1"/>
      <c r="I103" s="1">
        <f t="shared" si="11"/>
        <v>48</v>
      </c>
      <c r="J103" s="95">
        <f t="shared" si="12"/>
        <v>4115376.9414964966</v>
      </c>
      <c r="K103" s="95">
        <f t="shared" si="13"/>
        <v>150000.00058750037</v>
      </c>
      <c r="L103" s="95">
        <f t="shared" si="7"/>
        <v>3965376.9409089964</v>
      </c>
      <c r="M103" s="95">
        <f t="shared" si="8"/>
        <v>3990890.2955443184</v>
      </c>
      <c r="N103" s="1"/>
      <c r="O103" s="1">
        <f t="shared" si="14"/>
        <v>48</v>
      </c>
      <c r="P103" s="95">
        <f t="shared" si="15"/>
        <v>9773075.401784664</v>
      </c>
      <c r="Q103" s="95">
        <f t="shared" si="16"/>
        <v>150000.00058750037</v>
      </c>
      <c r="R103" s="95">
        <f t="shared" si="17"/>
        <v>9623075.4011971634</v>
      </c>
      <c r="S103" s="95">
        <f t="shared" si="18"/>
        <v>9699811.1558042392</v>
      </c>
      <c r="T103" s="1"/>
      <c r="U103" s="1">
        <f t="shared" si="19"/>
        <v>48</v>
      </c>
      <c r="V103" s="95">
        <f t="shared" si="20"/>
        <v>19162618.843527984</v>
      </c>
      <c r="W103" s="95">
        <f t="shared" si="21"/>
        <v>150000.00058750037</v>
      </c>
      <c r="X103" s="95">
        <f t="shared" si="22"/>
        <v>19012618.842940483</v>
      </c>
      <c r="Y103" s="95">
        <f t="shared" si="23"/>
        <v>19193025.646285299</v>
      </c>
      <c r="Z103" s="1"/>
      <c r="AA103" s="1"/>
      <c r="AB103" s="1"/>
      <c r="AC103" s="1"/>
      <c r="AD103" s="1"/>
      <c r="AE103" s="1"/>
      <c r="AF103" s="1"/>
      <c r="AG103" s="1"/>
      <c r="AH103" s="1"/>
    </row>
    <row r="104" spans="8:34" x14ac:dyDescent="0.35">
      <c r="H104" s="1"/>
      <c r="I104" s="1">
        <f t="shared" si="11"/>
        <v>49</v>
      </c>
      <c r="J104" s="95">
        <f t="shared" si="12"/>
        <v>3990890.2955443184</v>
      </c>
      <c r="K104" s="95">
        <f t="shared" si="13"/>
        <v>150000.00060000038</v>
      </c>
      <c r="L104" s="95">
        <f t="shared" si="7"/>
        <v>3840890.294944318</v>
      </c>
      <c r="M104" s="95">
        <f t="shared" si="8"/>
        <v>3865602.6987512098</v>
      </c>
      <c r="N104" s="1"/>
      <c r="O104" s="1">
        <f t="shared" si="14"/>
        <v>49</v>
      </c>
      <c r="P104" s="95">
        <f t="shared" si="15"/>
        <v>9699811.1558042392</v>
      </c>
      <c r="Q104" s="95">
        <f t="shared" si="16"/>
        <v>150000.00060000038</v>
      </c>
      <c r="R104" s="95">
        <f t="shared" si="17"/>
        <v>9549811.1552042384</v>
      </c>
      <c r="S104" s="95">
        <f t="shared" si="18"/>
        <v>9625962.6904253494</v>
      </c>
      <c r="T104" s="1"/>
      <c r="U104" s="1">
        <f t="shared" si="19"/>
        <v>49</v>
      </c>
      <c r="V104" s="95">
        <f t="shared" si="20"/>
        <v>19193025.646285299</v>
      </c>
      <c r="W104" s="95">
        <f t="shared" si="21"/>
        <v>150000.00060000038</v>
      </c>
      <c r="X104" s="95">
        <f t="shared" si="22"/>
        <v>19043025.6456853</v>
      </c>
      <c r="Y104" s="95">
        <f t="shared" si="23"/>
        <v>19223720.972885162</v>
      </c>
      <c r="Z104" s="1"/>
      <c r="AA104" s="1"/>
      <c r="AB104" s="1"/>
      <c r="AC104" s="1"/>
      <c r="AD104" s="1"/>
      <c r="AE104" s="1"/>
      <c r="AF104" s="1"/>
      <c r="AG104" s="1"/>
      <c r="AH104" s="1"/>
    </row>
    <row r="105" spans="8:34" x14ac:dyDescent="0.35">
      <c r="H105" s="1"/>
      <c r="I105" s="1">
        <f t="shared" si="11"/>
        <v>50</v>
      </c>
      <c r="J105" s="95">
        <f t="shared" si="12"/>
        <v>3865602.6987512098</v>
      </c>
      <c r="K105" s="95">
        <f t="shared" si="13"/>
        <v>150000.00061250039</v>
      </c>
      <c r="L105" s="95">
        <f t="shared" si="7"/>
        <v>3715602.6981387092</v>
      </c>
      <c r="M105" s="95">
        <f t="shared" si="8"/>
        <v>3739508.9977753437</v>
      </c>
      <c r="N105" s="1"/>
      <c r="O105" s="1">
        <f t="shared" si="14"/>
        <v>50</v>
      </c>
      <c r="P105" s="95">
        <f t="shared" si="15"/>
        <v>9625962.6904253494</v>
      </c>
      <c r="Q105" s="95">
        <f t="shared" si="16"/>
        <v>150000.00061250039</v>
      </c>
      <c r="R105" s="95">
        <f t="shared" si="17"/>
        <v>9475962.6898128483</v>
      </c>
      <c r="S105" s="95">
        <f t="shared" si="18"/>
        <v>9551525.3470004685</v>
      </c>
      <c r="T105" s="1"/>
      <c r="U105" s="1">
        <f t="shared" si="19"/>
        <v>50</v>
      </c>
      <c r="V105" s="95">
        <f t="shared" si="20"/>
        <v>19223720.972885162</v>
      </c>
      <c r="W105" s="95">
        <f t="shared" si="21"/>
        <v>150000.00061250039</v>
      </c>
      <c r="X105" s="95">
        <f t="shared" si="22"/>
        <v>19073720.972272661</v>
      </c>
      <c r="Y105" s="95">
        <f t="shared" si="23"/>
        <v>19254707.561070569</v>
      </c>
      <c r="Z105" s="1"/>
      <c r="AA105" s="1"/>
      <c r="AB105" s="1"/>
      <c r="AC105" s="1"/>
      <c r="AD105" s="1"/>
      <c r="AE105" s="1"/>
      <c r="AF105" s="1"/>
      <c r="AG105" s="1"/>
      <c r="AH105" s="1"/>
    </row>
    <row r="106" spans="8:34" x14ac:dyDescent="0.35">
      <c r="H106" s="1"/>
      <c r="I106" s="1">
        <f t="shared" si="11"/>
        <v>51</v>
      </c>
      <c r="J106" s="95">
        <f t="shared" si="12"/>
        <v>3739508.9977753437</v>
      </c>
      <c r="K106" s="95">
        <f t="shared" si="13"/>
        <v>150000.00062500039</v>
      </c>
      <c r="L106" s="95">
        <f t="shared" si="7"/>
        <v>3589508.9971503434</v>
      </c>
      <c r="M106" s="95">
        <f t="shared" si="8"/>
        <v>3612604.0061181369</v>
      </c>
      <c r="N106" s="1"/>
      <c r="O106" s="1">
        <f t="shared" si="14"/>
        <v>51</v>
      </c>
      <c r="P106" s="95">
        <f t="shared" si="15"/>
        <v>9551525.3470004685</v>
      </c>
      <c r="Q106" s="95">
        <f t="shared" si="16"/>
        <v>150000.00062500039</v>
      </c>
      <c r="R106" s="95">
        <f t="shared" si="17"/>
        <v>9401525.3463754673</v>
      </c>
      <c r="S106" s="95">
        <f t="shared" si="18"/>
        <v>9476494.4297333639</v>
      </c>
      <c r="T106" s="1"/>
      <c r="U106" s="1">
        <f t="shared" si="19"/>
        <v>51</v>
      </c>
      <c r="V106" s="95">
        <f t="shared" si="20"/>
        <v>19254707.561070569</v>
      </c>
      <c r="W106" s="95">
        <f t="shared" si="21"/>
        <v>150000.00062500039</v>
      </c>
      <c r="X106" s="95">
        <f t="shared" si="22"/>
        <v>19104707.560445569</v>
      </c>
      <c r="Y106" s="95">
        <f t="shared" si="23"/>
        <v>19285988.174562402</v>
      </c>
      <c r="Z106" s="1"/>
      <c r="AA106" s="1"/>
      <c r="AB106" s="1"/>
      <c r="AC106" s="1"/>
      <c r="AD106" s="1"/>
      <c r="AE106" s="1"/>
      <c r="AF106" s="1"/>
      <c r="AG106" s="1"/>
      <c r="AH106" s="1"/>
    </row>
    <row r="107" spans="8:34" x14ac:dyDescent="0.35">
      <c r="H107" s="1"/>
      <c r="I107" s="1">
        <f t="shared" si="11"/>
        <v>52</v>
      </c>
      <c r="J107" s="95">
        <f t="shared" si="12"/>
        <v>3612604.0061181369</v>
      </c>
      <c r="K107" s="95">
        <f t="shared" si="13"/>
        <v>150000.0006375004</v>
      </c>
      <c r="L107" s="95">
        <f t="shared" si="7"/>
        <v>3462604.0054806364</v>
      </c>
      <c r="M107" s="95">
        <f t="shared" si="8"/>
        <v>3484882.5039109173</v>
      </c>
      <c r="N107" s="1"/>
      <c r="O107" s="1">
        <f t="shared" si="14"/>
        <v>52</v>
      </c>
      <c r="P107" s="95">
        <f t="shared" si="15"/>
        <v>9476494.4297333639</v>
      </c>
      <c r="Q107" s="95">
        <f t="shared" si="16"/>
        <v>150000.0006375004</v>
      </c>
      <c r="R107" s="95">
        <f t="shared" si="17"/>
        <v>9326494.4290958643</v>
      </c>
      <c r="S107" s="95">
        <f t="shared" si="18"/>
        <v>9400865.2053828631</v>
      </c>
      <c r="T107" s="1"/>
      <c r="U107" s="1">
        <f t="shared" si="19"/>
        <v>52</v>
      </c>
      <c r="V107" s="95">
        <f t="shared" si="20"/>
        <v>19285988.174562402</v>
      </c>
      <c r="W107" s="95">
        <f t="shared" si="21"/>
        <v>150000.0006375004</v>
      </c>
      <c r="X107" s="95">
        <f t="shared" si="22"/>
        <v>19135988.173924901</v>
      </c>
      <c r="Y107" s="95">
        <f t="shared" si="23"/>
        <v>19317565.603305902</v>
      </c>
      <c r="Z107" s="1"/>
      <c r="AA107" s="1"/>
      <c r="AB107" s="1"/>
      <c r="AC107" s="1"/>
      <c r="AD107" s="1"/>
      <c r="AE107" s="1"/>
      <c r="AF107" s="1"/>
      <c r="AG107" s="1"/>
      <c r="AH107" s="1"/>
    </row>
    <row r="108" spans="8:34" x14ac:dyDescent="0.35">
      <c r="H108" s="1"/>
      <c r="I108" s="1">
        <f t="shared" si="11"/>
        <v>53</v>
      </c>
      <c r="J108" s="95">
        <f t="shared" si="12"/>
        <v>3484882.5039109173</v>
      </c>
      <c r="K108" s="95">
        <f t="shared" si="13"/>
        <v>150000.00065000041</v>
      </c>
      <c r="L108" s="95">
        <f t="shared" si="7"/>
        <v>3334882.503260917</v>
      </c>
      <c r="M108" s="95">
        <f t="shared" si="8"/>
        <v>3356339.2377002216</v>
      </c>
      <c r="N108" s="1"/>
      <c r="O108" s="1">
        <f t="shared" si="14"/>
        <v>53</v>
      </c>
      <c r="P108" s="95">
        <f t="shared" si="15"/>
        <v>9400865.2053828631</v>
      </c>
      <c r="Q108" s="95">
        <f t="shared" si="16"/>
        <v>150000.00065000041</v>
      </c>
      <c r="R108" s="95">
        <f t="shared" si="17"/>
        <v>9250865.2047328632</v>
      </c>
      <c r="S108" s="95">
        <f t="shared" si="18"/>
        <v>9324632.9029642623</v>
      </c>
      <c r="T108" s="1"/>
      <c r="U108" s="1">
        <f t="shared" si="19"/>
        <v>53</v>
      </c>
      <c r="V108" s="95">
        <f t="shared" si="20"/>
        <v>19317565.603305902</v>
      </c>
      <c r="W108" s="95">
        <f t="shared" si="21"/>
        <v>150000.00065000041</v>
      </c>
      <c r="X108" s="95">
        <f t="shared" si="22"/>
        <v>19167565.602655903</v>
      </c>
      <c r="Y108" s="95">
        <f t="shared" si="23"/>
        <v>19349442.663719542</v>
      </c>
      <c r="Z108" s="1"/>
      <c r="AA108" s="1"/>
      <c r="AB108" s="1"/>
      <c r="AC108" s="1"/>
      <c r="AD108" s="1"/>
      <c r="AE108" s="1"/>
      <c r="AF108" s="1"/>
      <c r="AG108" s="1"/>
      <c r="AH108" s="1"/>
    </row>
    <row r="109" spans="8:34" x14ac:dyDescent="0.35">
      <c r="H109" s="1"/>
      <c r="I109" s="1">
        <f t="shared" si="11"/>
        <v>54</v>
      </c>
      <c r="J109" s="95">
        <f t="shared" si="12"/>
        <v>3356339.2377002216</v>
      </c>
      <c r="K109" s="95">
        <f t="shared" si="13"/>
        <v>150000.00066250042</v>
      </c>
      <c r="L109" s="95">
        <f t="shared" si="7"/>
        <v>3206339.2370377211</v>
      </c>
      <c r="M109" s="95">
        <f t="shared" si="8"/>
        <v>3226968.9202317074</v>
      </c>
      <c r="N109" s="1"/>
      <c r="O109" s="1">
        <f t="shared" si="14"/>
        <v>54</v>
      </c>
      <c r="P109" s="95">
        <f t="shared" si="15"/>
        <v>9324632.9029642623</v>
      </c>
      <c r="Q109" s="95">
        <f t="shared" si="16"/>
        <v>150000.00066250042</v>
      </c>
      <c r="R109" s="95">
        <f t="shared" si="17"/>
        <v>9174632.9023017623</v>
      </c>
      <c r="S109" s="95">
        <f t="shared" si="18"/>
        <v>9247792.7134483568</v>
      </c>
      <c r="T109" s="1"/>
      <c r="U109" s="1">
        <f t="shared" si="19"/>
        <v>54</v>
      </c>
      <c r="V109" s="95">
        <f t="shared" si="20"/>
        <v>19349442.663719542</v>
      </c>
      <c r="W109" s="95">
        <f t="shared" si="21"/>
        <v>150000.00066250042</v>
      </c>
      <c r="X109" s="95">
        <f t="shared" si="22"/>
        <v>19199442.66305704</v>
      </c>
      <c r="Y109" s="95">
        <f t="shared" si="23"/>
        <v>19381622.198946189</v>
      </c>
      <c r="Z109" s="1"/>
      <c r="AA109" s="1"/>
      <c r="AB109" s="1"/>
      <c r="AC109" s="1"/>
      <c r="AD109" s="1"/>
      <c r="AE109" s="1"/>
      <c r="AF109" s="1"/>
      <c r="AG109" s="1"/>
      <c r="AH109" s="1"/>
    </row>
    <row r="110" spans="8:34" x14ac:dyDescent="0.35">
      <c r="H110" s="1"/>
      <c r="I110" s="1">
        <f t="shared" si="11"/>
        <v>55</v>
      </c>
      <c r="J110" s="95">
        <f t="shared" si="12"/>
        <v>3226968.9202317074</v>
      </c>
      <c r="K110" s="95">
        <f t="shared" si="13"/>
        <v>150000.00067500042</v>
      </c>
      <c r="L110" s="95">
        <f t="shared" si="7"/>
        <v>3076968.9195567071</v>
      </c>
      <c r="M110" s="95">
        <f t="shared" si="8"/>
        <v>3096766.2302326798</v>
      </c>
      <c r="N110" s="1"/>
      <c r="O110" s="1">
        <f t="shared" si="14"/>
        <v>55</v>
      </c>
      <c r="P110" s="95">
        <f t="shared" si="15"/>
        <v>9247792.7134483568</v>
      </c>
      <c r="Q110" s="95">
        <f t="shared" si="16"/>
        <v>150000.00067500042</v>
      </c>
      <c r="R110" s="95">
        <f t="shared" si="17"/>
        <v>9097792.7127733566</v>
      </c>
      <c r="S110" s="95">
        <f t="shared" si="18"/>
        <v>9170339.7894580681</v>
      </c>
      <c r="T110" s="1"/>
      <c r="U110" s="1">
        <f t="shared" si="19"/>
        <v>55</v>
      </c>
      <c r="V110" s="95">
        <f t="shared" si="20"/>
        <v>19381622.198946189</v>
      </c>
      <c r="W110" s="95">
        <f t="shared" si="21"/>
        <v>150000.00067500042</v>
      </c>
      <c r="X110" s="95">
        <f t="shared" si="22"/>
        <v>19231622.198271189</v>
      </c>
      <c r="Y110" s="95">
        <f t="shared" si="23"/>
        <v>19414107.079106715</v>
      </c>
      <c r="Z110" s="1"/>
      <c r="AA110" s="1"/>
      <c r="AB110" s="1"/>
      <c r="AC110" s="1"/>
      <c r="AD110" s="1"/>
      <c r="AE110" s="1"/>
      <c r="AF110" s="1"/>
      <c r="AG110" s="1"/>
      <c r="AH110" s="1"/>
    </row>
    <row r="111" spans="8:34" x14ac:dyDescent="0.35">
      <c r="H111" s="1"/>
      <c r="I111" s="1">
        <f t="shared" si="11"/>
        <v>56</v>
      </c>
      <c r="J111" s="95">
        <f t="shared" si="12"/>
        <v>3096766.2302326798</v>
      </c>
      <c r="K111" s="95">
        <f t="shared" si="13"/>
        <v>150000.00068750043</v>
      </c>
      <c r="L111" s="95">
        <f t="shared" si="7"/>
        <v>2946766.2295451793</v>
      </c>
      <c r="M111" s="95">
        <f t="shared" si="8"/>
        <v>2965725.8121932144</v>
      </c>
      <c r="N111" s="1"/>
      <c r="O111" s="1">
        <f t="shared" si="14"/>
        <v>56</v>
      </c>
      <c r="P111" s="95">
        <f t="shared" si="15"/>
        <v>9170339.7894580681</v>
      </c>
      <c r="Q111" s="95">
        <f t="shared" si="16"/>
        <v>150000.00068750043</v>
      </c>
      <c r="R111" s="95">
        <f t="shared" si="17"/>
        <v>9020339.7887705676</v>
      </c>
      <c r="S111" s="95">
        <f t="shared" si="18"/>
        <v>9092269.2449626531</v>
      </c>
      <c r="T111" s="1"/>
      <c r="U111" s="1">
        <f t="shared" si="19"/>
        <v>56</v>
      </c>
      <c r="V111" s="95">
        <f t="shared" si="20"/>
        <v>19414107.079106715</v>
      </c>
      <c r="W111" s="95">
        <f t="shared" si="21"/>
        <v>150000.00068750043</v>
      </c>
      <c r="X111" s="95">
        <f t="shared" si="22"/>
        <v>19264107.078419216</v>
      </c>
      <c r="Y111" s="95">
        <f t="shared" si="23"/>
        <v>19446900.201555971</v>
      </c>
      <c r="Z111" s="1"/>
      <c r="AA111" s="1"/>
      <c r="AB111" s="1"/>
      <c r="AC111" s="1"/>
      <c r="AD111" s="1"/>
      <c r="AE111" s="1"/>
      <c r="AF111" s="1"/>
      <c r="AG111" s="1"/>
      <c r="AH111" s="1"/>
    </row>
    <row r="112" spans="8:34" x14ac:dyDescent="0.35">
      <c r="H112" s="1"/>
      <c r="I112" s="1">
        <f t="shared" si="11"/>
        <v>57</v>
      </c>
      <c r="J112" s="95">
        <f t="shared" si="12"/>
        <v>2965725.8121932144</v>
      </c>
      <c r="K112" s="95">
        <f t="shared" si="13"/>
        <v>150000.00070000044</v>
      </c>
      <c r="L112" s="95">
        <f t="shared" si="7"/>
        <v>2815725.8114932142</v>
      </c>
      <c r="M112" s="95">
        <f t="shared" si="8"/>
        <v>2833842.2761458755</v>
      </c>
      <c r="N112" s="1"/>
      <c r="O112" s="1">
        <f t="shared" si="14"/>
        <v>57</v>
      </c>
      <c r="P112" s="95">
        <f t="shared" si="15"/>
        <v>9092269.2449626531</v>
      </c>
      <c r="Q112" s="95">
        <f t="shared" si="16"/>
        <v>150000.00070000044</v>
      </c>
      <c r="R112" s="95">
        <f t="shared" si="17"/>
        <v>8942269.2442626525</v>
      </c>
      <c r="S112" s="95">
        <f t="shared" si="18"/>
        <v>9013576.1549694706</v>
      </c>
      <c r="T112" s="1"/>
      <c r="U112" s="1">
        <f t="shared" si="19"/>
        <v>57</v>
      </c>
      <c r="V112" s="95">
        <f t="shared" si="20"/>
        <v>19446900.201555971</v>
      </c>
      <c r="W112" s="95">
        <f t="shared" si="21"/>
        <v>150000.00070000044</v>
      </c>
      <c r="X112" s="95">
        <f t="shared" si="22"/>
        <v>19296900.20085597</v>
      </c>
      <c r="Y112" s="95">
        <f t="shared" si="23"/>
        <v>19480004.491141208</v>
      </c>
      <c r="Z112" s="1"/>
      <c r="AA112" s="1"/>
      <c r="AB112" s="1"/>
      <c r="AC112" s="1"/>
      <c r="AD112" s="1"/>
      <c r="AE112" s="1"/>
      <c r="AF112" s="1"/>
      <c r="AG112" s="1"/>
      <c r="AH112" s="1"/>
    </row>
    <row r="113" spans="8:34" x14ac:dyDescent="0.35">
      <c r="H113" s="1"/>
      <c r="I113" s="1">
        <f t="shared" si="11"/>
        <v>58</v>
      </c>
      <c r="J113" s="95">
        <f t="shared" si="12"/>
        <v>2833842.2761458755</v>
      </c>
      <c r="K113" s="95">
        <f t="shared" si="13"/>
        <v>150000.00071250045</v>
      </c>
      <c r="L113" s="95">
        <f t="shared" si="7"/>
        <v>2683842.275433375</v>
      </c>
      <c r="M113" s="95">
        <f t="shared" si="8"/>
        <v>2701110.1974440133</v>
      </c>
      <c r="N113" s="1"/>
      <c r="O113" s="1">
        <f t="shared" si="14"/>
        <v>58</v>
      </c>
      <c r="P113" s="95">
        <f t="shared" si="15"/>
        <v>9013576.1549694706</v>
      </c>
      <c r="Q113" s="95">
        <f t="shared" si="16"/>
        <v>150000.00071250045</v>
      </c>
      <c r="R113" s="95">
        <f t="shared" si="17"/>
        <v>8863576.1542569697</v>
      </c>
      <c r="S113" s="95">
        <f t="shared" si="18"/>
        <v>8934255.5552132968</v>
      </c>
      <c r="T113" s="1"/>
      <c r="U113" s="1">
        <f t="shared" si="19"/>
        <v>58</v>
      </c>
      <c r="V113" s="95">
        <f t="shared" si="20"/>
        <v>19480004.491141208</v>
      </c>
      <c r="W113" s="95">
        <f t="shared" si="21"/>
        <v>150000.00071250045</v>
      </c>
      <c r="X113" s="95">
        <f t="shared" si="22"/>
        <v>19330004.490428708</v>
      </c>
      <c r="Y113" s="95">
        <f t="shared" si="23"/>
        <v>19513422.900462948</v>
      </c>
      <c r="Z113" s="1"/>
      <c r="AA113" s="1"/>
      <c r="AB113" s="1"/>
      <c r="AC113" s="1"/>
      <c r="AD113" s="1"/>
      <c r="AE113" s="1"/>
      <c r="AF113" s="1"/>
      <c r="AG113" s="1"/>
      <c r="AH113" s="1"/>
    </row>
    <row r="114" spans="8:34" x14ac:dyDescent="0.35">
      <c r="H114" s="1"/>
      <c r="I114" s="1">
        <f t="shared" si="11"/>
        <v>59</v>
      </c>
      <c r="J114" s="95">
        <f t="shared" si="12"/>
        <v>2701110.1974440133</v>
      </c>
      <c r="K114" s="95">
        <f t="shared" si="13"/>
        <v>150000.00072500046</v>
      </c>
      <c r="L114" s="95">
        <f t="shared" si="7"/>
        <v>2551110.1967190127</v>
      </c>
      <c r="M114" s="95">
        <f t="shared" si="8"/>
        <v>2567524.1165386396</v>
      </c>
      <c r="N114" s="1"/>
      <c r="O114" s="1">
        <f t="shared" si="14"/>
        <v>59</v>
      </c>
      <c r="P114" s="95">
        <f t="shared" si="15"/>
        <v>8934255.5552132968</v>
      </c>
      <c r="Q114" s="95">
        <f t="shared" si="16"/>
        <v>150000.00072500046</v>
      </c>
      <c r="R114" s="95">
        <f t="shared" si="17"/>
        <v>8784255.5544882957</v>
      </c>
      <c r="S114" s="95">
        <f t="shared" si="18"/>
        <v>8854302.4418431632</v>
      </c>
      <c r="T114" s="1"/>
      <c r="U114" s="1">
        <f t="shared" si="19"/>
        <v>59</v>
      </c>
      <c r="V114" s="95">
        <f t="shared" si="20"/>
        <v>19513422.900462948</v>
      </c>
      <c r="W114" s="95">
        <f t="shared" si="21"/>
        <v>150000.00072500046</v>
      </c>
      <c r="X114" s="95">
        <f t="shared" si="22"/>
        <v>19363422.899737947</v>
      </c>
      <c r="Y114" s="95">
        <f t="shared" si="23"/>
        <v>19547158.410138324</v>
      </c>
      <c r="Z114" s="1"/>
      <c r="AA114" s="1"/>
      <c r="AB114" s="1"/>
      <c r="AC114" s="1"/>
      <c r="AD114" s="1"/>
      <c r="AE114" s="1"/>
      <c r="AF114" s="1"/>
      <c r="AG114" s="1"/>
      <c r="AH114" s="1"/>
    </row>
    <row r="115" spans="8:34" x14ac:dyDescent="0.35">
      <c r="H115" s="1"/>
      <c r="I115" s="1">
        <f t="shared" si="11"/>
        <v>60</v>
      </c>
      <c r="J115" s="95">
        <f t="shared" si="12"/>
        <v>2567524.1165386396</v>
      </c>
      <c r="K115" s="95">
        <f t="shared" si="13"/>
        <v>150000.00073750046</v>
      </c>
      <c r="L115" s="95">
        <f t="shared" si="7"/>
        <v>2417524.1158011393</v>
      </c>
      <c r="M115" s="95">
        <f t="shared" si="8"/>
        <v>2433078.5387538634</v>
      </c>
      <c r="N115" s="1"/>
      <c r="O115" s="1">
        <f t="shared" si="14"/>
        <v>60</v>
      </c>
      <c r="P115" s="95">
        <f t="shared" si="15"/>
        <v>8854302.4418431632</v>
      </c>
      <c r="Q115" s="95">
        <f t="shared" si="16"/>
        <v>150000.00073750046</v>
      </c>
      <c r="R115" s="95">
        <f t="shared" si="17"/>
        <v>8704302.4411056619</v>
      </c>
      <c r="S115" s="95">
        <f t="shared" si="18"/>
        <v>8773711.7711066883</v>
      </c>
      <c r="T115" s="1"/>
      <c r="U115" s="1">
        <f t="shared" si="19"/>
        <v>60</v>
      </c>
      <c r="V115" s="95">
        <f t="shared" si="20"/>
        <v>19547158.410138324</v>
      </c>
      <c r="W115" s="95">
        <f t="shared" si="21"/>
        <v>150000.00073750046</v>
      </c>
      <c r="X115" s="95">
        <f t="shared" si="22"/>
        <v>19397158.409400824</v>
      </c>
      <c r="Y115" s="95">
        <f t="shared" si="23"/>
        <v>19581214.029066935</v>
      </c>
      <c r="Z115" s="1"/>
      <c r="AA115" s="1"/>
      <c r="AB115" s="1"/>
      <c r="AC115" s="1"/>
      <c r="AD115" s="1"/>
      <c r="AE115" s="1"/>
      <c r="AF115" s="1"/>
      <c r="AG115" s="1"/>
      <c r="AH115" s="1"/>
    </row>
    <row r="116" spans="8:34" x14ac:dyDescent="0.35">
      <c r="H116" s="1"/>
      <c r="I116" s="1">
        <f t="shared" si="11"/>
        <v>61</v>
      </c>
      <c r="J116" s="95">
        <f t="shared" si="12"/>
        <v>2433078.5387538634</v>
      </c>
      <c r="K116" s="95">
        <f t="shared" si="13"/>
        <v>150000.00075000047</v>
      </c>
      <c r="L116" s="95">
        <f t="shared" si="7"/>
        <v>2283078.5380038628</v>
      </c>
      <c r="M116" s="95">
        <f t="shared" si="8"/>
        <v>2297767.9340608823</v>
      </c>
      <c r="N116" s="1"/>
      <c r="O116" s="1">
        <f t="shared" si="14"/>
        <v>61</v>
      </c>
      <c r="P116" s="95">
        <f t="shared" si="15"/>
        <v>8773711.7711066883</v>
      </c>
      <c r="Q116" s="95">
        <f t="shared" si="16"/>
        <v>150000.00075000047</v>
      </c>
      <c r="R116" s="95">
        <f t="shared" si="17"/>
        <v>8623711.7703566886</v>
      </c>
      <c r="S116" s="95">
        <f t="shared" si="18"/>
        <v>8692478.4590319023</v>
      </c>
      <c r="T116" s="1"/>
      <c r="U116" s="1">
        <f t="shared" si="19"/>
        <v>61</v>
      </c>
      <c r="V116" s="95">
        <f t="shared" si="20"/>
        <v>19581214.029066935</v>
      </c>
      <c r="W116" s="95">
        <f t="shared" si="21"/>
        <v>150000.00075000047</v>
      </c>
      <c r="X116" s="95">
        <f t="shared" si="22"/>
        <v>19431214.028316934</v>
      </c>
      <c r="Y116" s="95">
        <f t="shared" si="23"/>
        <v>19615592.794699199</v>
      </c>
      <c r="Z116" s="1"/>
      <c r="AA116" s="1"/>
      <c r="AB116" s="1"/>
      <c r="AC116" s="1"/>
      <c r="AD116" s="1"/>
      <c r="AE116" s="1"/>
      <c r="AF116" s="1"/>
      <c r="AG116" s="1"/>
      <c r="AH116" s="1"/>
    </row>
    <row r="117" spans="8:34" x14ac:dyDescent="0.35">
      <c r="H117" s="1"/>
      <c r="I117" s="1">
        <f t="shared" si="11"/>
        <v>62</v>
      </c>
      <c r="J117" s="95">
        <f t="shared" si="12"/>
        <v>2297767.9340608823</v>
      </c>
      <c r="K117" s="95">
        <f t="shared" si="13"/>
        <v>150000.00076250048</v>
      </c>
      <c r="L117" s="95">
        <f t="shared" si="7"/>
        <v>2147767.933298382</v>
      </c>
      <c r="M117" s="95">
        <f t="shared" si="8"/>
        <v>2161586.7368505234</v>
      </c>
      <c r="N117" s="1"/>
      <c r="O117" s="1">
        <f t="shared" si="14"/>
        <v>62</v>
      </c>
      <c r="P117" s="95">
        <f t="shared" si="15"/>
        <v>8692478.4590319023</v>
      </c>
      <c r="Q117" s="95">
        <f t="shared" si="16"/>
        <v>150000.00076250048</v>
      </c>
      <c r="R117" s="95">
        <f t="shared" si="17"/>
        <v>8542478.4582694024</v>
      </c>
      <c r="S117" s="95">
        <f t="shared" si="18"/>
        <v>8610597.3811065275</v>
      </c>
      <c r="T117" s="1"/>
      <c r="U117" s="1">
        <f t="shared" si="19"/>
        <v>62</v>
      </c>
      <c r="V117" s="95">
        <f t="shared" si="20"/>
        <v>19615592.794699199</v>
      </c>
      <c r="W117" s="95">
        <f t="shared" si="21"/>
        <v>150000.00076250048</v>
      </c>
      <c r="X117" s="95">
        <f t="shared" si="22"/>
        <v>19465592.7939367</v>
      </c>
      <c r="Y117" s="95">
        <f t="shared" si="23"/>
        <v>19650297.773307275</v>
      </c>
      <c r="Z117" s="1"/>
      <c r="AA117" s="1"/>
      <c r="AB117" s="1"/>
      <c r="AC117" s="1"/>
      <c r="AD117" s="1"/>
      <c r="AE117" s="1"/>
      <c r="AF117" s="1"/>
      <c r="AG117" s="1"/>
      <c r="AH117" s="1"/>
    </row>
    <row r="118" spans="8:34" x14ac:dyDescent="0.35">
      <c r="H118" s="1"/>
      <c r="I118" s="1">
        <f t="shared" si="11"/>
        <v>63</v>
      </c>
      <c r="J118" s="95">
        <f t="shared" si="12"/>
        <v>2161586.7368505234</v>
      </c>
      <c r="K118" s="95">
        <f t="shared" si="13"/>
        <v>150000.00077500049</v>
      </c>
      <c r="L118" s="95">
        <f t="shared" si="7"/>
        <v>2011586.7360755228</v>
      </c>
      <c r="M118" s="95">
        <f t="shared" si="8"/>
        <v>2024529.3457043164</v>
      </c>
      <c r="N118" s="1"/>
      <c r="O118" s="1">
        <f t="shared" si="14"/>
        <v>63</v>
      </c>
      <c r="P118" s="95">
        <f t="shared" si="15"/>
        <v>8610597.3811065275</v>
      </c>
      <c r="Q118" s="95">
        <f t="shared" si="16"/>
        <v>150000.00077500049</v>
      </c>
      <c r="R118" s="95">
        <f t="shared" si="17"/>
        <v>8460597.3803315274</v>
      </c>
      <c r="S118" s="95">
        <f t="shared" si="18"/>
        <v>8528063.3719547056</v>
      </c>
      <c r="T118" s="1"/>
      <c r="U118" s="1">
        <f t="shared" si="19"/>
        <v>63</v>
      </c>
      <c r="V118" s="95">
        <f t="shared" si="20"/>
        <v>19650297.773307275</v>
      </c>
      <c r="W118" s="95">
        <f t="shared" si="21"/>
        <v>150000.00077500049</v>
      </c>
      <c r="X118" s="95">
        <f t="shared" si="22"/>
        <v>19500297.772532273</v>
      </c>
      <c r="Y118" s="95">
        <f t="shared" si="23"/>
        <v>19685332.060258541</v>
      </c>
      <c r="Z118" s="1"/>
      <c r="AA118" s="1"/>
      <c r="AB118" s="1"/>
      <c r="AC118" s="1"/>
      <c r="AD118" s="1"/>
      <c r="AE118" s="1"/>
      <c r="AF118" s="1"/>
      <c r="AG118" s="1"/>
      <c r="AH118" s="1"/>
    </row>
    <row r="119" spans="8:34" x14ac:dyDescent="0.35">
      <c r="H119" s="1"/>
      <c r="I119" s="1">
        <f t="shared" si="11"/>
        <v>64</v>
      </c>
      <c r="J119" s="95">
        <f t="shared" si="12"/>
        <v>2024529.3457043164</v>
      </c>
      <c r="K119" s="95">
        <f t="shared" si="13"/>
        <v>150000.0007875005</v>
      </c>
      <c r="L119" s="95">
        <f t="shared" si="7"/>
        <v>1874529.3449168159</v>
      </c>
      <c r="M119" s="95">
        <f t="shared" si="8"/>
        <v>1886590.1231640957</v>
      </c>
      <c r="N119" s="1"/>
      <c r="O119" s="1">
        <f t="shared" si="14"/>
        <v>64</v>
      </c>
      <c r="P119" s="95">
        <f t="shared" si="15"/>
        <v>8528063.3719547056</v>
      </c>
      <c r="Q119" s="95">
        <f t="shared" si="16"/>
        <v>150000.0007875005</v>
      </c>
      <c r="R119" s="95">
        <f t="shared" si="17"/>
        <v>8378063.3711672053</v>
      </c>
      <c r="S119" s="95">
        <f t="shared" si="18"/>
        <v>8444871.2250111476</v>
      </c>
      <c r="T119" s="1"/>
      <c r="U119" s="1">
        <f t="shared" si="19"/>
        <v>64</v>
      </c>
      <c r="V119" s="95">
        <f t="shared" si="20"/>
        <v>19685332.060258541</v>
      </c>
      <c r="W119" s="95">
        <f t="shared" si="21"/>
        <v>150000.0007875005</v>
      </c>
      <c r="X119" s="95">
        <f t="shared" si="22"/>
        <v>19535332.059471041</v>
      </c>
      <c r="Y119" s="95">
        <f t="shared" si="23"/>
        <v>19720698.780291684</v>
      </c>
      <c r="Z119" s="1"/>
      <c r="AA119" s="1"/>
      <c r="AB119" s="1"/>
      <c r="AC119" s="1"/>
      <c r="AD119" s="1"/>
      <c r="AE119" s="1"/>
      <c r="AF119" s="1"/>
      <c r="AG119" s="1"/>
      <c r="AH119" s="1"/>
    </row>
    <row r="120" spans="8:34" x14ac:dyDescent="0.35">
      <c r="H120" s="1"/>
      <c r="I120" s="1">
        <f t="shared" si="11"/>
        <v>65</v>
      </c>
      <c r="J120" s="95">
        <f t="shared" si="12"/>
        <v>1886590.1231640957</v>
      </c>
      <c r="K120" s="95">
        <f t="shared" si="13"/>
        <v>150000.0008000005</v>
      </c>
      <c r="L120" s="95">
        <f t="shared" si="7"/>
        <v>1736590.1223640952</v>
      </c>
      <c r="M120" s="95">
        <f t="shared" si="8"/>
        <v>1747763.3955001202</v>
      </c>
      <c r="N120" s="1"/>
      <c r="O120" s="1">
        <f t="shared" si="14"/>
        <v>65</v>
      </c>
      <c r="P120" s="95">
        <f t="shared" si="15"/>
        <v>8444871.2250111476</v>
      </c>
      <c r="Q120" s="95">
        <f t="shared" si="16"/>
        <v>150000.0008000005</v>
      </c>
      <c r="R120" s="95">
        <f t="shared" si="17"/>
        <v>8294871.2242111471</v>
      </c>
      <c r="S120" s="95">
        <f t="shared" si="18"/>
        <v>8361015.6921926793</v>
      </c>
      <c r="T120" s="1"/>
      <c r="U120" s="1">
        <f t="shared" si="19"/>
        <v>65</v>
      </c>
      <c r="V120" s="95">
        <f t="shared" si="20"/>
        <v>19720698.780291684</v>
      </c>
      <c r="W120" s="95">
        <f t="shared" si="21"/>
        <v>150000.0008000005</v>
      </c>
      <c r="X120" s="95">
        <f t="shared" si="22"/>
        <v>19570698.779491685</v>
      </c>
      <c r="Y120" s="95">
        <f t="shared" si="23"/>
        <v>19756401.087795381</v>
      </c>
      <c r="Z120" s="1"/>
      <c r="AA120" s="1"/>
      <c r="AB120" s="1"/>
      <c r="AC120" s="1"/>
      <c r="AD120" s="1"/>
      <c r="AE120" s="1"/>
      <c r="AF120" s="1"/>
      <c r="AG120" s="1"/>
      <c r="AH120" s="1"/>
    </row>
    <row r="121" spans="8:34" x14ac:dyDescent="0.35">
      <c r="H121" s="1"/>
      <c r="I121" s="1">
        <f t="shared" si="11"/>
        <v>66</v>
      </c>
      <c r="J121" s="95">
        <f t="shared" si="12"/>
        <v>1747763.3955001202</v>
      </c>
      <c r="K121" s="95">
        <f t="shared" si="13"/>
        <v>150000.00081250051</v>
      </c>
      <c r="L121" s="95">
        <f t="shared" ref="L121:L127" si="25">J121-K121</f>
        <v>1597763.3946876198</v>
      </c>
      <c r="M121" s="95">
        <f t="shared" ref="M121:M127" si="26">L121+(L121*($I$9/12))</f>
        <v>1608043.4524777012</v>
      </c>
      <c r="N121" s="1"/>
      <c r="O121" s="1">
        <f t="shared" si="14"/>
        <v>66</v>
      </c>
      <c r="P121" s="95">
        <f t="shared" si="15"/>
        <v>8361015.6921926793</v>
      </c>
      <c r="Q121" s="95">
        <f t="shared" si="16"/>
        <v>150000.00081250051</v>
      </c>
      <c r="R121" s="95">
        <f t="shared" si="17"/>
        <v>8211015.6913801786</v>
      </c>
      <c r="S121" s="95">
        <f t="shared" si="18"/>
        <v>8276491.4835671764</v>
      </c>
      <c r="T121" s="1"/>
      <c r="U121" s="1">
        <f t="shared" si="19"/>
        <v>66</v>
      </c>
      <c r="V121" s="95">
        <f t="shared" si="20"/>
        <v>19756401.087795381</v>
      </c>
      <c r="W121" s="95">
        <f t="shared" si="21"/>
        <v>150000.00081250051</v>
      </c>
      <c r="X121" s="95">
        <f t="shared" si="22"/>
        <v>19606401.08698288</v>
      </c>
      <c r="Y121" s="95">
        <f t="shared" si="23"/>
        <v>19792442.167089645</v>
      </c>
      <c r="Z121" s="1"/>
      <c r="AA121" s="1"/>
      <c r="AB121" s="1"/>
      <c r="AC121" s="1"/>
      <c r="AD121" s="1"/>
      <c r="AE121" s="1"/>
      <c r="AF121" s="1"/>
      <c r="AG121" s="1"/>
      <c r="AH121" s="1"/>
    </row>
    <row r="122" spans="8:34" x14ac:dyDescent="0.35">
      <c r="H122" s="1"/>
      <c r="I122" s="1">
        <f t="shared" ref="I122:I127" si="27">I121+1</f>
        <v>67</v>
      </c>
      <c r="J122" s="95">
        <f t="shared" ref="J122:J127" si="28">M121</f>
        <v>1608043.4524777012</v>
      </c>
      <c r="K122" s="95">
        <f t="shared" ref="K122:K127" si="29">K121+K121*($F$15/12)</f>
        <v>150000.00082500052</v>
      </c>
      <c r="L122" s="95">
        <f t="shared" si="25"/>
        <v>1458043.4516527008</v>
      </c>
      <c r="M122" s="95">
        <f t="shared" si="26"/>
        <v>1467424.5471223276</v>
      </c>
      <c r="N122" s="1"/>
      <c r="O122" s="1">
        <f t="shared" ref="O122:O175" si="30">O121+1</f>
        <v>67</v>
      </c>
      <c r="P122" s="95">
        <f t="shared" ref="P122:P175" si="31">S121</f>
        <v>8276491.4835671764</v>
      </c>
      <c r="Q122" s="95">
        <f t="shared" ref="Q122:Q175" si="32">Q121+Q121*($F$15/12)</f>
        <v>150000.00082500052</v>
      </c>
      <c r="R122" s="95">
        <f t="shared" ref="R122:R175" si="33">P122-Q122</f>
        <v>8126491.4827421755</v>
      </c>
      <c r="S122" s="95">
        <f t="shared" ref="S122:S175" si="34">R122+(R122*($J$9/12))</f>
        <v>8191293.2670198521</v>
      </c>
      <c r="T122" s="1"/>
      <c r="U122" s="1">
        <f t="shared" ref="U122:U185" si="35">U121+1</f>
        <v>67</v>
      </c>
      <c r="V122" s="95">
        <f t="shared" ref="V122:V185" si="36">Y121</f>
        <v>19792442.167089645</v>
      </c>
      <c r="W122" s="95">
        <f t="shared" ref="W122:W185" si="37">W121+W121*($F$15/12)</f>
        <v>150000.00082500052</v>
      </c>
      <c r="X122" s="95">
        <f t="shared" ref="X122:X185" si="38">V122-W122</f>
        <v>19642442.166264646</v>
      </c>
      <c r="Y122" s="95">
        <f t="shared" ref="Y122:Y185" si="39">X122+(X122*($K$9/12))</f>
        <v>19828825.232709855</v>
      </c>
      <c r="Z122" s="1"/>
      <c r="AA122" s="1"/>
      <c r="AB122" s="1"/>
      <c r="AC122" s="1"/>
      <c r="AD122" s="1"/>
      <c r="AE122" s="1"/>
      <c r="AF122" s="1"/>
      <c r="AG122" s="1"/>
      <c r="AH122" s="1"/>
    </row>
    <row r="123" spans="8:34" x14ac:dyDescent="0.35">
      <c r="H123" s="1"/>
      <c r="I123" s="1">
        <f t="shared" si="27"/>
        <v>68</v>
      </c>
      <c r="J123" s="95">
        <f t="shared" si="28"/>
        <v>1467424.5471223276</v>
      </c>
      <c r="K123" s="95">
        <f t="shared" si="29"/>
        <v>150000.00083750053</v>
      </c>
      <c r="L123" s="95">
        <f t="shared" si="25"/>
        <v>1317424.5462848272</v>
      </c>
      <c r="M123" s="95">
        <f t="shared" si="26"/>
        <v>1325900.8954832815</v>
      </c>
      <c r="N123" s="1"/>
      <c r="O123" s="1">
        <f t="shared" si="30"/>
        <v>68</v>
      </c>
      <c r="P123" s="95">
        <f t="shared" si="31"/>
        <v>8191293.2670198521</v>
      </c>
      <c r="Q123" s="95">
        <f t="shared" si="32"/>
        <v>150000.00083750053</v>
      </c>
      <c r="R123" s="95">
        <f t="shared" si="33"/>
        <v>8041293.2661823519</v>
      </c>
      <c r="S123" s="95">
        <f t="shared" si="34"/>
        <v>8105415.6679168884</v>
      </c>
      <c r="T123" s="1"/>
      <c r="U123" s="1">
        <f t="shared" si="35"/>
        <v>68</v>
      </c>
      <c r="V123" s="95">
        <f t="shared" si="36"/>
        <v>19828825.232709855</v>
      </c>
      <c r="W123" s="95">
        <f t="shared" si="37"/>
        <v>150000.00083750053</v>
      </c>
      <c r="X123" s="95">
        <f t="shared" si="38"/>
        <v>19678825.231872354</v>
      </c>
      <c r="Y123" s="95">
        <f t="shared" si="39"/>
        <v>19865553.52969344</v>
      </c>
      <c r="Z123" s="1"/>
      <c r="AA123" s="1"/>
      <c r="AB123" s="1"/>
      <c r="AC123" s="1"/>
      <c r="AD123" s="1"/>
      <c r="AE123" s="1"/>
      <c r="AF123" s="1"/>
      <c r="AG123" s="1"/>
      <c r="AH123" s="1"/>
    </row>
    <row r="124" spans="8:34" x14ac:dyDescent="0.35">
      <c r="H124" s="1"/>
      <c r="I124" s="1">
        <f t="shared" si="27"/>
        <v>69</v>
      </c>
      <c r="J124" s="95">
        <f t="shared" si="28"/>
        <v>1325900.8954832815</v>
      </c>
      <c r="K124" s="95">
        <f t="shared" si="29"/>
        <v>150000.00085000054</v>
      </c>
      <c r="L124" s="95">
        <f t="shared" si="25"/>
        <v>1175900.894633281</v>
      </c>
      <c r="M124" s="95">
        <f t="shared" si="26"/>
        <v>1183466.6763957315</v>
      </c>
      <c r="N124" s="1"/>
      <c r="O124" s="1">
        <f t="shared" si="30"/>
        <v>69</v>
      </c>
      <c r="P124" s="95">
        <f t="shared" si="31"/>
        <v>8105415.6679168884</v>
      </c>
      <c r="Q124" s="95">
        <f t="shared" si="32"/>
        <v>150000.00085000054</v>
      </c>
      <c r="R124" s="95">
        <f t="shared" si="33"/>
        <v>7955415.667066888</v>
      </c>
      <c r="S124" s="95">
        <f t="shared" si="34"/>
        <v>8018853.2687663808</v>
      </c>
      <c r="T124" s="1"/>
      <c r="U124" s="1">
        <f t="shared" si="35"/>
        <v>69</v>
      </c>
      <c r="V124" s="95">
        <f t="shared" si="36"/>
        <v>19865553.52969344</v>
      </c>
      <c r="W124" s="95">
        <f t="shared" si="37"/>
        <v>150000.00085000054</v>
      </c>
      <c r="X124" s="95">
        <f t="shared" si="38"/>
        <v>19715553.52884344</v>
      </c>
      <c r="Y124" s="95">
        <f t="shared" si="39"/>
        <v>19902630.333869323</v>
      </c>
      <c r="Z124" s="1"/>
      <c r="AA124" s="1"/>
      <c r="AB124" s="1"/>
      <c r="AC124" s="1"/>
      <c r="AD124" s="1"/>
      <c r="AE124" s="1"/>
      <c r="AF124" s="1"/>
      <c r="AG124" s="1"/>
      <c r="AH124" s="1"/>
    </row>
    <row r="125" spans="8:34" x14ac:dyDescent="0.35">
      <c r="H125" s="1"/>
      <c r="I125" s="1">
        <f t="shared" si="27"/>
        <v>70</v>
      </c>
      <c r="J125" s="95">
        <f t="shared" si="28"/>
        <v>1183466.6763957315</v>
      </c>
      <c r="K125" s="95">
        <f t="shared" si="29"/>
        <v>150000.00086250054</v>
      </c>
      <c r="L125" s="95">
        <f t="shared" si="25"/>
        <v>1033466.675533231</v>
      </c>
      <c r="M125" s="95">
        <f t="shared" si="26"/>
        <v>1040116.0312412969</v>
      </c>
      <c r="N125" s="1"/>
      <c r="O125" s="1">
        <f t="shared" si="30"/>
        <v>70</v>
      </c>
      <c r="P125" s="95">
        <f t="shared" si="31"/>
        <v>8018853.2687663808</v>
      </c>
      <c r="Q125" s="95">
        <f t="shared" si="32"/>
        <v>150000.00086250054</v>
      </c>
      <c r="R125" s="95">
        <f t="shared" si="33"/>
        <v>7868853.2679038802</v>
      </c>
      <c r="S125" s="95">
        <f t="shared" si="34"/>
        <v>7931600.6088765841</v>
      </c>
      <c r="T125" s="1"/>
      <c r="U125" s="1">
        <f t="shared" si="35"/>
        <v>70</v>
      </c>
      <c r="V125" s="95">
        <f t="shared" si="36"/>
        <v>19902630.333869323</v>
      </c>
      <c r="W125" s="95">
        <f t="shared" si="37"/>
        <v>150000.00086250054</v>
      </c>
      <c r="X125" s="95">
        <f t="shared" si="38"/>
        <v>19752630.333006822</v>
      </c>
      <c r="Y125" s="95">
        <f t="shared" si="39"/>
        <v>19940058.952150088</v>
      </c>
      <c r="Z125" s="1"/>
      <c r="AA125" s="1"/>
      <c r="AB125" s="1"/>
      <c r="AC125" s="1"/>
      <c r="AD125" s="1"/>
      <c r="AE125" s="1"/>
      <c r="AF125" s="1"/>
      <c r="AG125" s="1"/>
      <c r="AH125" s="1"/>
    </row>
    <row r="126" spans="8:34" x14ac:dyDescent="0.35">
      <c r="H126" s="1"/>
      <c r="I126" s="1">
        <f t="shared" si="27"/>
        <v>71</v>
      </c>
      <c r="J126" s="95">
        <f t="shared" si="28"/>
        <v>1040116.0312412969</v>
      </c>
      <c r="K126" s="95">
        <f t="shared" si="29"/>
        <v>150000.00087500055</v>
      </c>
      <c r="L126" s="95">
        <f t="shared" si="25"/>
        <v>890116.03036629641</v>
      </c>
      <c r="M126" s="95">
        <f t="shared" si="26"/>
        <v>895843.06370706984</v>
      </c>
      <c r="N126" s="1"/>
      <c r="O126" s="1">
        <f t="shared" si="30"/>
        <v>71</v>
      </c>
      <c r="P126" s="95">
        <f t="shared" si="31"/>
        <v>7931600.6088765841</v>
      </c>
      <c r="Q126" s="95">
        <f t="shared" si="32"/>
        <v>150000.00087500055</v>
      </c>
      <c r="R126" s="95">
        <f t="shared" si="33"/>
        <v>7781600.6080015833</v>
      </c>
      <c r="S126" s="95">
        <f t="shared" si="34"/>
        <v>7843652.1840114305</v>
      </c>
      <c r="T126" s="1"/>
      <c r="U126" s="1">
        <f t="shared" si="35"/>
        <v>71</v>
      </c>
      <c r="V126" s="95">
        <f t="shared" si="36"/>
        <v>19940058.952150088</v>
      </c>
      <c r="W126" s="95">
        <f t="shared" si="37"/>
        <v>150000.00087500055</v>
      </c>
      <c r="X126" s="95">
        <f t="shared" si="38"/>
        <v>19790058.951275088</v>
      </c>
      <c r="Y126" s="95">
        <f t="shared" si="39"/>
        <v>19977842.722826928</v>
      </c>
      <c r="Z126" s="1"/>
      <c r="AA126" s="1"/>
      <c r="AB126" s="1"/>
      <c r="AC126" s="1"/>
      <c r="AD126" s="1"/>
      <c r="AE126" s="1"/>
      <c r="AF126" s="1"/>
      <c r="AG126" s="1"/>
      <c r="AH126" s="1"/>
    </row>
    <row r="127" spans="8:34" x14ac:dyDescent="0.35">
      <c r="H127" s="1"/>
      <c r="I127" s="1">
        <f t="shared" si="27"/>
        <v>72</v>
      </c>
      <c r="J127" s="95">
        <f t="shared" si="28"/>
        <v>895843.06370706984</v>
      </c>
      <c r="K127" s="95">
        <f t="shared" si="29"/>
        <v>150000.00088750056</v>
      </c>
      <c r="L127" s="95">
        <f t="shared" si="25"/>
        <v>745843.06281956926</v>
      </c>
      <c r="M127" s="95">
        <f t="shared" si="26"/>
        <v>750641.83954308752</v>
      </c>
      <c r="N127" s="1"/>
      <c r="O127" s="1">
        <f t="shared" si="30"/>
        <v>72</v>
      </c>
      <c r="P127" s="95">
        <f t="shared" si="31"/>
        <v>7843652.1840114305</v>
      </c>
      <c r="Q127" s="95">
        <f t="shared" si="32"/>
        <v>150000.00088750056</v>
      </c>
      <c r="R127" s="95">
        <f t="shared" si="33"/>
        <v>7693652.1831239304</v>
      </c>
      <c r="S127" s="95">
        <f t="shared" si="34"/>
        <v>7755002.4460433023</v>
      </c>
      <c r="T127" s="1"/>
      <c r="U127" s="1">
        <f t="shared" si="35"/>
        <v>72</v>
      </c>
      <c r="V127" s="95">
        <f t="shared" si="36"/>
        <v>19977842.722826928</v>
      </c>
      <c r="W127" s="95">
        <f t="shared" si="37"/>
        <v>150000.00088750056</v>
      </c>
      <c r="X127" s="95">
        <f t="shared" si="38"/>
        <v>19827842.721939426</v>
      </c>
      <c r="Y127" s="95">
        <f t="shared" si="39"/>
        <v>20015985.01586739</v>
      </c>
      <c r="Z127" s="1"/>
      <c r="AA127" s="1"/>
      <c r="AB127" s="1"/>
      <c r="AC127" s="1"/>
      <c r="AD127" s="1"/>
      <c r="AE127" s="1"/>
      <c r="AF127" s="1"/>
      <c r="AG127" s="1"/>
      <c r="AH127" s="1"/>
    </row>
    <row r="128" spans="8:34" x14ac:dyDescent="0.35">
      <c r="H128" s="1"/>
      <c r="I128" s="1"/>
      <c r="J128" s="1"/>
      <c r="K128" s="1"/>
      <c r="L128" s="1"/>
      <c r="M128" s="1"/>
      <c r="N128" s="1"/>
      <c r="O128" s="1">
        <f t="shared" si="30"/>
        <v>73</v>
      </c>
      <c r="P128" s="100">
        <f t="shared" si="31"/>
        <v>7755002.4460433023</v>
      </c>
      <c r="Q128" s="95">
        <f t="shared" si="32"/>
        <v>150000.00090000057</v>
      </c>
      <c r="R128" s="95">
        <f t="shared" si="33"/>
        <v>7605002.445143302</v>
      </c>
      <c r="S128" s="95">
        <f t="shared" si="34"/>
        <v>7665645.8026030315</v>
      </c>
      <c r="T128" s="1"/>
      <c r="U128" s="1">
        <f t="shared" si="35"/>
        <v>73</v>
      </c>
      <c r="V128" s="95">
        <f t="shared" si="36"/>
        <v>20015985.01586739</v>
      </c>
      <c r="W128" s="95">
        <f t="shared" si="37"/>
        <v>150000.00090000057</v>
      </c>
      <c r="X128" s="95">
        <f t="shared" si="38"/>
        <v>19865985.014967389</v>
      </c>
      <c r="Y128" s="95">
        <f t="shared" si="39"/>
        <v>20054489.233215943</v>
      </c>
      <c r="Z128" s="1"/>
      <c r="AA128" s="1"/>
      <c r="AB128" s="1"/>
      <c r="AC128" s="1"/>
      <c r="AD128" s="1"/>
      <c r="AE128" s="1"/>
      <c r="AF128" s="1"/>
      <c r="AG128" s="1"/>
      <c r="AH128" s="1"/>
    </row>
    <row r="129" spans="8:34" x14ac:dyDescent="0.35">
      <c r="H129" s="1"/>
      <c r="I129" s="1"/>
      <c r="J129" s="1"/>
      <c r="K129" s="1"/>
      <c r="L129" s="1"/>
      <c r="M129" s="1"/>
      <c r="N129" s="1"/>
      <c r="O129" s="1">
        <f t="shared" si="30"/>
        <v>74</v>
      </c>
      <c r="P129" s="95">
        <f t="shared" si="31"/>
        <v>7665645.8026030315</v>
      </c>
      <c r="Q129" s="95">
        <f t="shared" si="32"/>
        <v>150000.00091250057</v>
      </c>
      <c r="R129" s="95">
        <f t="shared" si="33"/>
        <v>7515645.801690531</v>
      </c>
      <c r="S129" s="95">
        <f t="shared" si="34"/>
        <v>7575576.6167271119</v>
      </c>
      <c r="T129" s="1"/>
      <c r="U129" s="1">
        <f t="shared" si="35"/>
        <v>74</v>
      </c>
      <c r="V129" s="95">
        <f t="shared" si="36"/>
        <v>20054489.233215943</v>
      </c>
      <c r="W129" s="95">
        <f t="shared" si="37"/>
        <v>150000.00091250057</v>
      </c>
      <c r="X129" s="95">
        <f t="shared" si="38"/>
        <v>19904489.232303441</v>
      </c>
      <c r="Y129" s="95">
        <f t="shared" si="39"/>
        <v>20093358.809097406</v>
      </c>
      <c r="Z129" s="1"/>
      <c r="AA129" s="1"/>
      <c r="AB129" s="1"/>
      <c r="AC129" s="1"/>
      <c r="AD129" s="1"/>
      <c r="AE129" s="1"/>
      <c r="AF129" s="1"/>
      <c r="AG129" s="1"/>
      <c r="AH129" s="1"/>
    </row>
    <row r="130" spans="8:34" x14ac:dyDescent="0.35">
      <c r="H130" s="1"/>
      <c r="I130" s="1"/>
      <c r="J130" s="1"/>
      <c r="K130" s="1"/>
      <c r="L130" s="1"/>
      <c r="M130" s="1"/>
      <c r="N130" s="1"/>
      <c r="O130" s="1">
        <f t="shared" si="30"/>
        <v>75</v>
      </c>
      <c r="P130" s="95">
        <f t="shared" si="31"/>
        <v>7575576.6167271119</v>
      </c>
      <c r="Q130" s="95">
        <f t="shared" si="32"/>
        <v>150000.00092500058</v>
      </c>
      <c r="R130" s="95">
        <f t="shared" si="33"/>
        <v>7425576.6158021111</v>
      </c>
      <c r="S130" s="95">
        <f t="shared" si="34"/>
        <v>7484789.2065021014</v>
      </c>
      <c r="T130" s="1"/>
      <c r="U130" s="1">
        <f t="shared" si="35"/>
        <v>75</v>
      </c>
      <c r="V130" s="95">
        <f t="shared" si="36"/>
        <v>20093358.809097406</v>
      </c>
      <c r="W130" s="95">
        <f t="shared" si="37"/>
        <v>150000.00092500058</v>
      </c>
      <c r="X130" s="95">
        <f t="shared" si="38"/>
        <v>19943358.808172405</v>
      </c>
      <c r="Y130" s="95">
        <f t="shared" si="39"/>
        <v>20132597.210323244</v>
      </c>
      <c r="Z130" s="1"/>
      <c r="AA130" s="1"/>
      <c r="AB130" s="1"/>
      <c r="AC130" s="1"/>
      <c r="AD130" s="1"/>
      <c r="AE130" s="1"/>
      <c r="AF130" s="1"/>
      <c r="AG130" s="1"/>
      <c r="AH130" s="1"/>
    </row>
    <row r="131" spans="8:34" x14ac:dyDescent="0.35">
      <c r="H131" s="1"/>
      <c r="I131" s="1"/>
      <c r="J131" s="1"/>
      <c r="K131" s="1"/>
      <c r="L131" s="1"/>
      <c r="M131" s="1"/>
      <c r="N131" s="1"/>
      <c r="O131" s="1">
        <f t="shared" si="30"/>
        <v>76</v>
      </c>
      <c r="P131" s="95">
        <f t="shared" si="31"/>
        <v>7484789.2065021014</v>
      </c>
      <c r="Q131" s="95">
        <f t="shared" si="32"/>
        <v>150000.00093750059</v>
      </c>
      <c r="R131" s="95">
        <f t="shared" si="33"/>
        <v>7334789.2055646004</v>
      </c>
      <c r="S131" s="95">
        <f t="shared" si="34"/>
        <v>7393277.8447061796</v>
      </c>
      <c r="T131" s="1"/>
      <c r="U131" s="1">
        <f t="shared" si="35"/>
        <v>76</v>
      </c>
      <c r="V131" s="95">
        <f t="shared" si="36"/>
        <v>20132597.210323244</v>
      </c>
      <c r="W131" s="95">
        <f t="shared" si="37"/>
        <v>150000.00093750059</v>
      </c>
      <c r="X131" s="95">
        <f t="shared" si="38"/>
        <v>19982597.209385745</v>
      </c>
      <c r="Y131" s="95">
        <f t="shared" si="39"/>
        <v>20172207.936600782</v>
      </c>
      <c r="Z131" s="1"/>
      <c r="AA131" s="1"/>
      <c r="AB131" s="1"/>
      <c r="AC131" s="1"/>
      <c r="AD131" s="1"/>
      <c r="AE131" s="1"/>
      <c r="AF131" s="1"/>
      <c r="AG131" s="1"/>
      <c r="AH131" s="1"/>
    </row>
    <row r="132" spans="8:34" x14ac:dyDescent="0.35">
      <c r="H132" s="1"/>
      <c r="I132" s="1"/>
      <c r="J132" s="1"/>
      <c r="K132" s="1"/>
      <c r="L132" s="1"/>
      <c r="M132" s="1"/>
      <c r="N132" s="1"/>
      <c r="O132" s="1">
        <f t="shared" si="30"/>
        <v>77</v>
      </c>
      <c r="P132" s="95">
        <f t="shared" si="31"/>
        <v>7393277.8447061796</v>
      </c>
      <c r="Q132" s="95">
        <f t="shared" si="32"/>
        <v>150000.0009500006</v>
      </c>
      <c r="R132" s="95">
        <f t="shared" si="33"/>
        <v>7243277.8437561793</v>
      </c>
      <c r="S132" s="95">
        <f t="shared" si="34"/>
        <v>7301036.7584478585</v>
      </c>
      <c r="T132" s="1"/>
      <c r="U132" s="1">
        <f t="shared" si="35"/>
        <v>77</v>
      </c>
      <c r="V132" s="95">
        <f t="shared" si="36"/>
        <v>20172207.936600782</v>
      </c>
      <c r="W132" s="95">
        <f t="shared" si="37"/>
        <v>150000.0009500006</v>
      </c>
      <c r="X132" s="95">
        <f t="shared" si="38"/>
        <v>20022207.935650781</v>
      </c>
      <c r="Y132" s="95">
        <f t="shared" si="39"/>
        <v>20212194.520845335</v>
      </c>
      <c r="Z132" s="1"/>
      <c r="AA132" s="1"/>
      <c r="AB132" s="1"/>
      <c r="AC132" s="1"/>
      <c r="AD132" s="1"/>
      <c r="AE132" s="1"/>
      <c r="AF132" s="1"/>
      <c r="AG132" s="1"/>
      <c r="AH132" s="1"/>
    </row>
    <row r="133" spans="8:34" x14ac:dyDescent="0.35">
      <c r="H133" s="1"/>
      <c r="I133" s="1"/>
      <c r="J133" s="1"/>
      <c r="K133" s="1"/>
      <c r="L133" s="1"/>
      <c r="M133" s="1"/>
      <c r="N133" s="1"/>
      <c r="O133" s="1">
        <f t="shared" si="30"/>
        <v>78</v>
      </c>
      <c r="P133" s="95">
        <f t="shared" si="31"/>
        <v>7301036.7584478585</v>
      </c>
      <c r="Q133" s="95">
        <f t="shared" si="32"/>
        <v>150000.00096250061</v>
      </c>
      <c r="R133" s="95">
        <f t="shared" si="33"/>
        <v>7151036.757485358</v>
      </c>
      <c r="S133" s="95">
        <f t="shared" si="34"/>
        <v>7208060.1288017994</v>
      </c>
      <c r="T133" s="1"/>
      <c r="U133" s="1">
        <f t="shared" si="35"/>
        <v>78</v>
      </c>
      <c r="V133" s="95">
        <f t="shared" si="36"/>
        <v>20212194.520845335</v>
      </c>
      <c r="W133" s="95">
        <f t="shared" si="37"/>
        <v>150000.00096250061</v>
      </c>
      <c r="X133" s="95">
        <f t="shared" si="38"/>
        <v>20062194.519882835</v>
      </c>
      <c r="Y133" s="95">
        <f t="shared" si="39"/>
        <v>20252560.529495329</v>
      </c>
      <c r="Z133" s="1"/>
      <c r="AA133" s="1"/>
      <c r="AB133" s="1"/>
      <c r="AC133" s="1"/>
      <c r="AD133" s="1"/>
      <c r="AE133" s="1"/>
      <c r="AF133" s="1"/>
      <c r="AG133" s="1"/>
      <c r="AH133" s="1"/>
    </row>
    <row r="134" spans="8:34" x14ac:dyDescent="0.35">
      <c r="H134" s="1"/>
      <c r="I134" s="1"/>
      <c r="J134" s="1"/>
      <c r="K134" s="1"/>
      <c r="L134" s="1"/>
      <c r="M134" s="1"/>
      <c r="N134" s="1"/>
      <c r="O134" s="1">
        <f t="shared" si="30"/>
        <v>79</v>
      </c>
      <c r="P134" s="95">
        <f t="shared" si="31"/>
        <v>7208060.1288017994</v>
      </c>
      <c r="Q134" s="95">
        <f t="shared" si="32"/>
        <v>150000.00097500061</v>
      </c>
      <c r="R134" s="95">
        <f t="shared" si="33"/>
        <v>7058060.1278267987</v>
      </c>
      <c r="S134" s="95">
        <f t="shared" si="34"/>
        <v>7114342.0904417364</v>
      </c>
      <c r="T134" s="1"/>
      <c r="U134" s="1">
        <f t="shared" si="35"/>
        <v>79</v>
      </c>
      <c r="V134" s="95">
        <f t="shared" si="36"/>
        <v>20252560.529495329</v>
      </c>
      <c r="W134" s="95">
        <f t="shared" si="37"/>
        <v>150000.00097500061</v>
      </c>
      <c r="X134" s="95">
        <f t="shared" si="38"/>
        <v>20102560.528520327</v>
      </c>
      <c r="Y134" s="95">
        <f t="shared" si="39"/>
        <v>20293309.562830377</v>
      </c>
      <c r="Z134" s="1"/>
      <c r="AA134" s="1"/>
      <c r="AB134" s="1"/>
      <c r="AC134" s="1"/>
      <c r="AD134" s="1"/>
      <c r="AE134" s="1"/>
      <c r="AF134" s="1"/>
      <c r="AG134" s="1"/>
      <c r="AH134" s="1"/>
    </row>
    <row r="135" spans="8:34" x14ac:dyDescent="0.35">
      <c r="H135" s="1"/>
      <c r="I135" s="1"/>
      <c r="J135" s="1"/>
      <c r="K135" s="1"/>
      <c r="L135" s="1"/>
      <c r="M135" s="1"/>
      <c r="N135" s="1"/>
      <c r="O135" s="1">
        <f t="shared" si="30"/>
        <v>80</v>
      </c>
      <c r="P135" s="95">
        <f t="shared" si="31"/>
        <v>7114342.0904417364</v>
      </c>
      <c r="Q135" s="95">
        <f t="shared" si="32"/>
        <v>150000.00098750062</v>
      </c>
      <c r="R135" s="95">
        <f t="shared" si="33"/>
        <v>6964342.0894542355</v>
      </c>
      <c r="S135" s="95">
        <f t="shared" si="34"/>
        <v>7019876.7312704688</v>
      </c>
      <c r="T135" s="1"/>
      <c r="U135" s="1">
        <f t="shared" si="35"/>
        <v>80</v>
      </c>
      <c r="V135" s="95">
        <f t="shared" si="36"/>
        <v>20293309.562830377</v>
      </c>
      <c r="W135" s="95">
        <f t="shared" si="37"/>
        <v>150000.00098750062</v>
      </c>
      <c r="X135" s="95">
        <f t="shared" si="38"/>
        <v>20143309.561842877</v>
      </c>
      <c r="Y135" s="95">
        <f t="shared" si="39"/>
        <v>20334445.255292412</v>
      </c>
      <c r="Z135" s="1"/>
      <c r="AA135" s="1"/>
      <c r="AB135" s="1"/>
      <c r="AC135" s="1"/>
      <c r="AD135" s="1"/>
      <c r="AE135" s="1"/>
      <c r="AF135" s="1"/>
      <c r="AG135" s="1"/>
      <c r="AH135" s="1"/>
    </row>
    <row r="136" spans="8:34" x14ac:dyDescent="0.35">
      <c r="H136" s="1"/>
      <c r="I136" s="1"/>
      <c r="J136" s="1"/>
      <c r="K136" s="1"/>
      <c r="L136" s="1"/>
      <c r="M136" s="1"/>
      <c r="N136" s="1"/>
      <c r="O136" s="1">
        <f t="shared" si="30"/>
        <v>81</v>
      </c>
      <c r="P136" s="95">
        <f t="shared" si="31"/>
        <v>7019876.7312704688</v>
      </c>
      <c r="Q136" s="95">
        <f t="shared" si="32"/>
        <v>150000.00100000063</v>
      </c>
      <c r="R136" s="95">
        <f t="shared" si="33"/>
        <v>6869876.7302704677</v>
      </c>
      <c r="S136" s="95">
        <f t="shared" si="34"/>
        <v>6924658.0920469025</v>
      </c>
      <c r="T136" s="1"/>
      <c r="U136" s="1">
        <f t="shared" si="35"/>
        <v>81</v>
      </c>
      <c r="V136" s="95">
        <f t="shared" si="36"/>
        <v>20334445.255292412</v>
      </c>
      <c r="W136" s="95">
        <f t="shared" si="37"/>
        <v>150000.00100000063</v>
      </c>
      <c r="X136" s="95">
        <f t="shared" si="38"/>
        <v>20184445.25429241</v>
      </c>
      <c r="Y136" s="95">
        <f t="shared" si="39"/>
        <v>20375971.275809817</v>
      </c>
      <c r="Z136" s="1"/>
      <c r="AA136" s="1"/>
      <c r="AB136" s="1"/>
      <c r="AC136" s="1"/>
      <c r="AD136" s="1"/>
      <c r="AE136" s="1"/>
      <c r="AF136" s="1"/>
      <c r="AG136" s="1"/>
      <c r="AH136" s="1"/>
    </row>
    <row r="137" spans="8:34" x14ac:dyDescent="0.35">
      <c r="H137" s="1"/>
      <c r="I137" s="1"/>
      <c r="J137" s="1"/>
      <c r="K137" s="1"/>
      <c r="L137" s="1"/>
      <c r="M137" s="1"/>
      <c r="N137" s="1"/>
      <c r="O137" s="1">
        <f t="shared" si="30"/>
        <v>82</v>
      </c>
      <c r="P137" s="95">
        <f t="shared" si="31"/>
        <v>6924658.0920469025</v>
      </c>
      <c r="Q137" s="95">
        <f t="shared" si="32"/>
        <v>150000.00101250064</v>
      </c>
      <c r="R137" s="95">
        <f t="shared" si="33"/>
        <v>6774658.0910344021</v>
      </c>
      <c r="S137" s="95">
        <f t="shared" si="34"/>
        <v>6828680.16601012</v>
      </c>
      <c r="T137" s="1"/>
      <c r="U137" s="1">
        <f t="shared" si="35"/>
        <v>82</v>
      </c>
      <c r="V137" s="95">
        <f t="shared" si="36"/>
        <v>20375971.275809817</v>
      </c>
      <c r="W137" s="95">
        <f t="shared" si="37"/>
        <v>150000.00101250064</v>
      </c>
      <c r="X137" s="95">
        <f t="shared" si="38"/>
        <v>20225971.274797317</v>
      </c>
      <c r="Y137" s="95">
        <f t="shared" si="39"/>
        <v>20417891.328124695</v>
      </c>
      <c r="Z137" s="1"/>
      <c r="AA137" s="1"/>
      <c r="AB137" s="1"/>
      <c r="AC137" s="1"/>
      <c r="AD137" s="1"/>
      <c r="AE137" s="1"/>
      <c r="AF137" s="1"/>
      <c r="AG137" s="1"/>
      <c r="AH137" s="1"/>
    </row>
    <row r="138" spans="8:34" x14ac:dyDescent="0.35">
      <c r="H138" s="1"/>
      <c r="I138" s="1"/>
      <c r="J138" s="1"/>
      <c r="K138" s="1"/>
      <c r="L138" s="1"/>
      <c r="M138" s="1"/>
      <c r="N138" s="1"/>
      <c r="O138" s="1">
        <f t="shared" si="30"/>
        <v>83</v>
      </c>
      <c r="P138" s="95">
        <f t="shared" si="31"/>
        <v>6828680.16601012</v>
      </c>
      <c r="Q138" s="95">
        <f t="shared" si="32"/>
        <v>150000.00102500065</v>
      </c>
      <c r="R138" s="95">
        <f t="shared" si="33"/>
        <v>6678680.1649851194</v>
      </c>
      <c r="S138" s="95">
        <f t="shared" si="34"/>
        <v>6731936.8985004453</v>
      </c>
      <c r="T138" s="1"/>
      <c r="U138" s="1">
        <f t="shared" si="35"/>
        <v>83</v>
      </c>
      <c r="V138" s="95">
        <f t="shared" si="36"/>
        <v>20417891.328124695</v>
      </c>
      <c r="W138" s="95">
        <f t="shared" si="37"/>
        <v>150000.00102500065</v>
      </c>
      <c r="X138" s="95">
        <f t="shared" si="38"/>
        <v>20267891.327099692</v>
      </c>
      <c r="Y138" s="95">
        <f t="shared" si="39"/>
        <v>20460209.151123174</v>
      </c>
      <c r="Z138" s="1"/>
      <c r="AA138" s="1"/>
      <c r="AB138" s="1"/>
      <c r="AC138" s="1"/>
      <c r="AD138" s="1"/>
      <c r="AE138" s="1"/>
      <c r="AF138" s="1"/>
      <c r="AG138" s="1"/>
      <c r="AH138" s="1"/>
    </row>
    <row r="139" spans="8:34" x14ac:dyDescent="0.35">
      <c r="H139" s="1"/>
      <c r="I139" s="1"/>
      <c r="J139" s="1"/>
      <c r="K139" s="1"/>
      <c r="L139" s="1"/>
      <c r="M139" s="1"/>
      <c r="N139" s="1"/>
      <c r="O139" s="1">
        <f t="shared" si="30"/>
        <v>84</v>
      </c>
      <c r="P139" s="95">
        <f t="shared" si="31"/>
        <v>6731936.8985004453</v>
      </c>
      <c r="Q139" s="95">
        <f t="shared" si="32"/>
        <v>150000.00103750065</v>
      </c>
      <c r="R139" s="95">
        <f t="shared" si="33"/>
        <v>6581936.8974629445</v>
      </c>
      <c r="S139" s="95">
        <f t="shared" si="34"/>
        <v>6634422.1865774971</v>
      </c>
      <c r="T139" s="1"/>
      <c r="U139" s="1">
        <f t="shared" si="35"/>
        <v>84</v>
      </c>
      <c r="V139" s="95">
        <f t="shared" si="36"/>
        <v>20460209.151123174</v>
      </c>
      <c r="W139" s="95">
        <f t="shared" si="37"/>
        <v>150000.00103750065</v>
      </c>
      <c r="X139" s="95">
        <f t="shared" si="38"/>
        <v>20310209.150085673</v>
      </c>
      <c r="Y139" s="95">
        <f t="shared" si="39"/>
        <v>20502928.51916891</v>
      </c>
      <c r="Z139" s="1"/>
      <c r="AA139" s="1"/>
      <c r="AB139" s="1"/>
      <c r="AC139" s="1"/>
      <c r="AD139" s="1"/>
      <c r="AE139" s="1"/>
      <c r="AF139" s="1"/>
      <c r="AG139" s="1"/>
      <c r="AH139" s="1"/>
    </row>
    <row r="140" spans="8:34" x14ac:dyDescent="0.35">
      <c r="H140" s="1"/>
      <c r="I140" s="1"/>
      <c r="J140" s="1"/>
      <c r="K140" s="1"/>
      <c r="L140" s="1"/>
      <c r="M140" s="1"/>
      <c r="N140" s="1"/>
      <c r="O140" s="1">
        <f t="shared" si="30"/>
        <v>85</v>
      </c>
      <c r="P140" s="95">
        <f t="shared" si="31"/>
        <v>6634422.1865774971</v>
      </c>
      <c r="Q140" s="95">
        <f t="shared" si="32"/>
        <v>150000.00105000066</v>
      </c>
      <c r="R140" s="95">
        <f t="shared" si="33"/>
        <v>6484422.185527496</v>
      </c>
      <c r="S140" s="95">
        <f t="shared" si="34"/>
        <v>6536129.8786351914</v>
      </c>
      <c r="T140" s="1"/>
      <c r="U140" s="1">
        <f t="shared" si="35"/>
        <v>85</v>
      </c>
      <c r="V140" s="95">
        <f t="shared" si="36"/>
        <v>20502928.51916891</v>
      </c>
      <c r="W140" s="95">
        <f t="shared" si="37"/>
        <v>150000.00105000066</v>
      </c>
      <c r="X140" s="95">
        <f t="shared" si="38"/>
        <v>20352928.51811891</v>
      </c>
      <c r="Y140" s="95">
        <f t="shared" si="39"/>
        <v>20546053.24243971</v>
      </c>
      <c r="Z140" s="1"/>
      <c r="AA140" s="1"/>
      <c r="AB140" s="1"/>
      <c r="AC140" s="1"/>
      <c r="AD140" s="1"/>
      <c r="AE140" s="1"/>
      <c r="AF140" s="1"/>
      <c r="AG140" s="1"/>
      <c r="AH140" s="1"/>
    </row>
    <row r="141" spans="8:34" x14ac:dyDescent="0.35">
      <c r="H141" s="1"/>
      <c r="I141" s="1"/>
      <c r="J141" s="1"/>
      <c r="K141" s="1"/>
      <c r="L141" s="1"/>
      <c r="M141" s="1"/>
      <c r="N141" s="1"/>
      <c r="O141" s="1">
        <f t="shared" si="30"/>
        <v>86</v>
      </c>
      <c r="P141" s="95">
        <f t="shared" si="31"/>
        <v>6536129.8786351914</v>
      </c>
      <c r="Q141" s="95">
        <f t="shared" si="32"/>
        <v>150000.00106250067</v>
      </c>
      <c r="R141" s="95">
        <f t="shared" si="33"/>
        <v>6386129.8775726911</v>
      </c>
      <c r="S141" s="95">
        <f t="shared" si="34"/>
        <v>6437053.7740136739</v>
      </c>
      <c r="T141" s="1"/>
      <c r="U141" s="1">
        <f t="shared" si="35"/>
        <v>86</v>
      </c>
      <c r="V141" s="95">
        <f t="shared" si="36"/>
        <v>20546053.24243971</v>
      </c>
      <c r="W141" s="95">
        <f t="shared" si="37"/>
        <v>150000.00106250067</v>
      </c>
      <c r="X141" s="95">
        <f t="shared" si="38"/>
        <v>20396053.241377208</v>
      </c>
      <c r="Y141" s="95">
        <f t="shared" si="39"/>
        <v>20589587.167267367</v>
      </c>
      <c r="Z141" s="1"/>
      <c r="AA141" s="1"/>
      <c r="AB141" s="1"/>
      <c r="AC141" s="1"/>
      <c r="AD141" s="1"/>
      <c r="AE141" s="1"/>
      <c r="AF141" s="1"/>
      <c r="AG141" s="1"/>
      <c r="AH141" s="1"/>
    </row>
    <row r="142" spans="8:34" x14ac:dyDescent="0.35">
      <c r="H142" s="1"/>
      <c r="I142" s="1"/>
      <c r="J142" s="1"/>
      <c r="K142" s="1"/>
      <c r="L142" s="1"/>
      <c r="M142" s="1"/>
      <c r="N142" s="1"/>
      <c r="O142" s="1">
        <f t="shared" si="30"/>
        <v>87</v>
      </c>
      <c r="P142" s="95">
        <f t="shared" si="31"/>
        <v>6437053.7740136739</v>
      </c>
      <c r="Q142" s="95">
        <f t="shared" si="32"/>
        <v>150000.00107500068</v>
      </c>
      <c r="R142" s="95">
        <f t="shared" si="33"/>
        <v>6287053.7729386734</v>
      </c>
      <c r="S142" s="95">
        <f t="shared" si="34"/>
        <v>6337187.6226081559</v>
      </c>
      <c r="T142" s="1"/>
      <c r="U142" s="1">
        <f t="shared" si="35"/>
        <v>87</v>
      </c>
      <c r="V142" s="95">
        <f t="shared" si="36"/>
        <v>20589587.167267367</v>
      </c>
      <c r="W142" s="95">
        <f t="shared" si="37"/>
        <v>150000.00107500068</v>
      </c>
      <c r="X142" s="95">
        <f t="shared" si="38"/>
        <v>20439587.166192368</v>
      </c>
      <c r="Y142" s="95">
        <f t="shared" si="39"/>
        <v>20633534.176480729</v>
      </c>
      <c r="Z142" s="1"/>
      <c r="AA142" s="1"/>
      <c r="AB142" s="1"/>
      <c r="AC142" s="1"/>
      <c r="AD142" s="1"/>
      <c r="AE142" s="1"/>
      <c r="AF142" s="1"/>
      <c r="AG142" s="1"/>
      <c r="AH142" s="1"/>
    </row>
    <row r="143" spans="8:34" x14ac:dyDescent="0.35">
      <c r="H143" s="1"/>
      <c r="I143" s="1"/>
      <c r="J143" s="1"/>
      <c r="K143" s="1"/>
      <c r="L143" s="1"/>
      <c r="M143" s="1"/>
      <c r="N143" s="1"/>
      <c r="O143" s="1">
        <f t="shared" si="30"/>
        <v>88</v>
      </c>
      <c r="P143" s="95">
        <f t="shared" si="31"/>
        <v>6337187.6226081559</v>
      </c>
      <c r="Q143" s="95">
        <f t="shared" si="32"/>
        <v>150000.00108750068</v>
      </c>
      <c r="R143" s="95">
        <f t="shared" si="33"/>
        <v>6187187.6215206552</v>
      </c>
      <c r="S143" s="95">
        <f t="shared" si="34"/>
        <v>6236525.1244746363</v>
      </c>
      <c r="T143" s="1"/>
      <c r="U143" s="1">
        <f t="shared" si="35"/>
        <v>88</v>
      </c>
      <c r="V143" s="95">
        <f t="shared" si="36"/>
        <v>20633534.176480729</v>
      </c>
      <c r="W143" s="95">
        <f t="shared" si="37"/>
        <v>150000.00108750068</v>
      </c>
      <c r="X143" s="95">
        <f t="shared" si="38"/>
        <v>20483534.175393227</v>
      </c>
      <c r="Y143" s="95">
        <f t="shared" si="39"/>
        <v>20677898.18975199</v>
      </c>
      <c r="Z143" s="1"/>
      <c r="AA143" s="1"/>
      <c r="AB143" s="1"/>
      <c r="AC143" s="1"/>
      <c r="AD143" s="1"/>
      <c r="AE143" s="1"/>
      <c r="AF143" s="1"/>
      <c r="AG143" s="1"/>
      <c r="AH143" s="1"/>
    </row>
    <row r="144" spans="8:34" x14ac:dyDescent="0.35">
      <c r="H144" s="1"/>
      <c r="I144" s="1"/>
      <c r="J144" s="1"/>
      <c r="K144" s="1"/>
      <c r="L144" s="1"/>
      <c r="M144" s="1"/>
      <c r="N144" s="1"/>
      <c r="O144" s="1">
        <f t="shared" si="30"/>
        <v>89</v>
      </c>
      <c r="P144" s="95">
        <f t="shared" si="31"/>
        <v>6236525.1244746363</v>
      </c>
      <c r="Q144" s="95">
        <f t="shared" si="32"/>
        <v>150000.00110000069</v>
      </c>
      <c r="R144" s="95">
        <f t="shared" si="33"/>
        <v>6086525.1233746354</v>
      </c>
      <c r="S144" s="95">
        <f t="shared" si="34"/>
        <v>6135059.9294324759</v>
      </c>
      <c r="T144" s="1"/>
      <c r="U144" s="1">
        <f t="shared" si="35"/>
        <v>89</v>
      </c>
      <c r="V144" s="95">
        <f t="shared" si="36"/>
        <v>20677898.18975199</v>
      </c>
      <c r="W144" s="95">
        <f t="shared" si="37"/>
        <v>150000.00110000069</v>
      </c>
      <c r="X144" s="95">
        <f t="shared" si="38"/>
        <v>20527898.18865199</v>
      </c>
      <c r="Y144" s="95">
        <f t="shared" si="39"/>
        <v>20722683.163946312</v>
      </c>
      <c r="Z144" s="1"/>
      <c r="AA144" s="1"/>
      <c r="AB144" s="1"/>
      <c r="AC144" s="1"/>
      <c r="AD144" s="1"/>
      <c r="AE144" s="1"/>
      <c r="AF144" s="1"/>
      <c r="AG144" s="1"/>
      <c r="AH144" s="1"/>
    </row>
    <row r="145" spans="8:34" x14ac:dyDescent="0.35">
      <c r="H145" s="1"/>
      <c r="I145" s="1"/>
      <c r="J145" s="1"/>
      <c r="K145" s="1"/>
      <c r="L145" s="1"/>
      <c r="M145" s="1"/>
      <c r="N145" s="1"/>
      <c r="O145" s="1">
        <f t="shared" si="30"/>
        <v>90</v>
      </c>
      <c r="P145" s="95">
        <f t="shared" si="31"/>
        <v>6135059.9294324759</v>
      </c>
      <c r="Q145" s="95">
        <f t="shared" si="32"/>
        <v>150000.0011125007</v>
      </c>
      <c r="R145" s="95">
        <f t="shared" si="33"/>
        <v>5985059.9283199748</v>
      </c>
      <c r="S145" s="95">
        <f t="shared" si="34"/>
        <v>6032785.6366638029</v>
      </c>
      <c r="T145" s="1"/>
      <c r="U145" s="1">
        <f t="shared" si="35"/>
        <v>90</v>
      </c>
      <c r="V145" s="95">
        <f t="shared" si="36"/>
        <v>20722683.163946312</v>
      </c>
      <c r="W145" s="95">
        <f t="shared" si="37"/>
        <v>150000.0011125007</v>
      </c>
      <c r="X145" s="95">
        <f t="shared" si="38"/>
        <v>20572683.16283381</v>
      </c>
      <c r="Y145" s="95">
        <f t="shared" si="39"/>
        <v>20767893.093474723</v>
      </c>
      <c r="Z145" s="1"/>
      <c r="AA145" s="1"/>
      <c r="AB145" s="1"/>
      <c r="AC145" s="1"/>
      <c r="AD145" s="1"/>
      <c r="AE145" s="1"/>
      <c r="AF145" s="1"/>
      <c r="AG145" s="1"/>
      <c r="AH145" s="1"/>
    </row>
    <row r="146" spans="8:34" x14ac:dyDescent="0.35">
      <c r="H146" s="1"/>
      <c r="I146" s="1"/>
      <c r="J146" s="1"/>
      <c r="K146" s="1"/>
      <c r="L146" s="1"/>
      <c r="M146" s="1"/>
      <c r="N146" s="1"/>
      <c r="O146" s="1">
        <f t="shared" si="30"/>
        <v>91</v>
      </c>
      <c r="P146" s="95">
        <f t="shared" si="31"/>
        <v>6032785.6366638029</v>
      </c>
      <c r="Q146" s="95">
        <f t="shared" si="32"/>
        <v>150000.00112500071</v>
      </c>
      <c r="R146" s="95">
        <f t="shared" si="33"/>
        <v>5882785.6355388025</v>
      </c>
      <c r="S146" s="95">
        <f t="shared" si="34"/>
        <v>5929695.7943097269</v>
      </c>
      <c r="T146" s="1"/>
      <c r="U146" s="1">
        <f t="shared" si="35"/>
        <v>91</v>
      </c>
      <c r="V146" s="95">
        <f t="shared" si="36"/>
        <v>20767893.093474723</v>
      </c>
      <c r="W146" s="95">
        <f t="shared" si="37"/>
        <v>150000.00112500071</v>
      </c>
      <c r="X146" s="95">
        <f t="shared" si="38"/>
        <v>20617893.092349723</v>
      </c>
      <c r="Y146" s="95">
        <f t="shared" si="39"/>
        <v>20813532.0106504</v>
      </c>
      <c r="Z146" s="1"/>
      <c r="AA146" s="1"/>
      <c r="AB146" s="1"/>
      <c r="AC146" s="1"/>
      <c r="AD146" s="1"/>
      <c r="AE146" s="1"/>
      <c r="AF146" s="1"/>
      <c r="AG146" s="1"/>
      <c r="AH146" s="1"/>
    </row>
    <row r="147" spans="8:34" x14ac:dyDescent="0.35">
      <c r="H147" s="1"/>
      <c r="I147" s="1"/>
      <c r="J147" s="1"/>
      <c r="K147" s="1"/>
      <c r="L147" s="1"/>
      <c r="M147" s="1"/>
      <c r="N147" s="1"/>
      <c r="O147" s="1">
        <f t="shared" si="30"/>
        <v>92</v>
      </c>
      <c r="P147" s="95">
        <f t="shared" si="31"/>
        <v>5929695.7943097269</v>
      </c>
      <c r="Q147" s="95">
        <f t="shared" si="32"/>
        <v>150000.00113750072</v>
      </c>
      <c r="R147" s="95">
        <f t="shared" si="33"/>
        <v>5779695.7931722263</v>
      </c>
      <c r="S147" s="95">
        <f t="shared" si="34"/>
        <v>5825783.8990633255</v>
      </c>
      <c r="T147" s="1"/>
      <c r="U147" s="1">
        <f t="shared" si="35"/>
        <v>92</v>
      </c>
      <c r="V147" s="95">
        <f t="shared" si="36"/>
        <v>20813532.0106504</v>
      </c>
      <c r="W147" s="95">
        <f t="shared" si="37"/>
        <v>150000.00113750072</v>
      </c>
      <c r="X147" s="95">
        <f t="shared" si="38"/>
        <v>20663532.009512898</v>
      </c>
      <c r="Y147" s="95">
        <f t="shared" si="39"/>
        <v>20859603.986048292</v>
      </c>
      <c r="Z147" s="1"/>
      <c r="AA147" s="1"/>
      <c r="AB147" s="1"/>
      <c r="AC147" s="1"/>
      <c r="AD147" s="1"/>
      <c r="AE147" s="1"/>
      <c r="AF147" s="1"/>
      <c r="AG147" s="1"/>
      <c r="AH147" s="1"/>
    </row>
    <row r="148" spans="8:34" x14ac:dyDescent="0.35">
      <c r="H148" s="1"/>
      <c r="I148" s="1"/>
      <c r="J148" s="1"/>
      <c r="K148" s="1"/>
      <c r="L148" s="1"/>
      <c r="M148" s="1"/>
      <c r="N148" s="1"/>
      <c r="O148" s="1">
        <f t="shared" si="30"/>
        <v>93</v>
      </c>
      <c r="P148" s="95">
        <f t="shared" si="31"/>
        <v>5825783.8990633255</v>
      </c>
      <c r="Q148" s="95">
        <f t="shared" si="32"/>
        <v>150000.00115000072</v>
      </c>
      <c r="R148" s="95">
        <f t="shared" si="33"/>
        <v>5675783.8979133246</v>
      </c>
      <c r="S148" s="95">
        <f t="shared" si="34"/>
        <v>5721043.3957593963</v>
      </c>
      <c r="T148" s="1"/>
      <c r="U148" s="1">
        <f t="shared" si="35"/>
        <v>93</v>
      </c>
      <c r="V148" s="95">
        <f t="shared" si="36"/>
        <v>20859603.986048292</v>
      </c>
      <c r="W148" s="95">
        <f t="shared" si="37"/>
        <v>150000.00115000072</v>
      </c>
      <c r="X148" s="95">
        <f t="shared" si="38"/>
        <v>20709603.984898292</v>
      </c>
      <c r="Y148" s="95">
        <f t="shared" si="39"/>
        <v>20906113.128868207</v>
      </c>
      <c r="Z148" s="1"/>
      <c r="AA148" s="1"/>
      <c r="AB148" s="1"/>
      <c r="AC148" s="1"/>
      <c r="AD148" s="1"/>
      <c r="AE148" s="1"/>
      <c r="AF148" s="1"/>
      <c r="AG148" s="1"/>
      <c r="AH148" s="1"/>
    </row>
    <row r="149" spans="8:34" x14ac:dyDescent="0.35">
      <c r="H149" s="1"/>
      <c r="I149" s="1"/>
      <c r="J149" s="1"/>
      <c r="K149" s="1"/>
      <c r="L149" s="1"/>
      <c r="M149" s="1"/>
      <c r="N149" s="1"/>
      <c r="O149" s="1">
        <f t="shared" si="30"/>
        <v>94</v>
      </c>
      <c r="P149" s="95">
        <f t="shared" si="31"/>
        <v>5721043.3957593963</v>
      </c>
      <c r="Q149" s="95">
        <f t="shared" si="32"/>
        <v>150000.00116250073</v>
      </c>
      <c r="R149" s="95">
        <f t="shared" si="33"/>
        <v>5571043.3945968952</v>
      </c>
      <c r="S149" s="95">
        <f t="shared" si="34"/>
        <v>5615467.6769609274</v>
      </c>
      <c r="T149" s="1"/>
      <c r="U149" s="1">
        <f t="shared" si="35"/>
        <v>94</v>
      </c>
      <c r="V149" s="95">
        <f t="shared" si="36"/>
        <v>20906113.128868207</v>
      </c>
      <c r="W149" s="95">
        <f t="shared" si="37"/>
        <v>150000.00116250073</v>
      </c>
      <c r="X149" s="95">
        <f t="shared" si="38"/>
        <v>20756113.127705708</v>
      </c>
      <c r="Y149" s="95">
        <f t="shared" si="39"/>
        <v>20953063.587301288</v>
      </c>
      <c r="Z149" s="1"/>
      <c r="AA149" s="1"/>
      <c r="AB149" s="1"/>
      <c r="AC149" s="1"/>
      <c r="AD149" s="1"/>
      <c r="AE149" s="1"/>
      <c r="AF149" s="1"/>
      <c r="AG149" s="1"/>
      <c r="AH149" s="1"/>
    </row>
    <row r="150" spans="8:34" x14ac:dyDescent="0.35">
      <c r="H150" s="1"/>
      <c r="I150" s="1"/>
      <c r="J150" s="1"/>
      <c r="K150" s="1"/>
      <c r="L150" s="1"/>
      <c r="M150" s="1"/>
      <c r="N150" s="1"/>
      <c r="O150" s="1">
        <f t="shared" si="30"/>
        <v>95</v>
      </c>
      <c r="P150" s="95">
        <f t="shared" si="31"/>
        <v>5615467.6769609274</v>
      </c>
      <c r="Q150" s="95">
        <f t="shared" si="32"/>
        <v>150000.00117500074</v>
      </c>
      <c r="R150" s="95">
        <f t="shared" si="33"/>
        <v>5465467.6757859271</v>
      </c>
      <c r="S150" s="95">
        <f t="shared" si="34"/>
        <v>5509050.0825422788</v>
      </c>
      <c r="T150" s="1"/>
      <c r="U150" s="1">
        <f t="shared" si="35"/>
        <v>95</v>
      </c>
      <c r="V150" s="95">
        <f t="shared" si="36"/>
        <v>20953063.587301288</v>
      </c>
      <c r="W150" s="95">
        <f t="shared" si="37"/>
        <v>150000.00117500074</v>
      </c>
      <c r="X150" s="95">
        <f t="shared" si="38"/>
        <v>20803063.586126287</v>
      </c>
      <c r="Y150" s="95">
        <f t="shared" si="39"/>
        <v>21000459.548900004</v>
      </c>
      <c r="Z150" s="1"/>
      <c r="AA150" s="1"/>
      <c r="AB150" s="1"/>
      <c r="AC150" s="1"/>
      <c r="AD150" s="1"/>
      <c r="AE150" s="1"/>
      <c r="AF150" s="1"/>
      <c r="AG150" s="1"/>
      <c r="AH150" s="1"/>
    </row>
    <row r="151" spans="8:34" x14ac:dyDescent="0.35">
      <c r="H151" s="1"/>
      <c r="I151" s="1"/>
      <c r="J151" s="1"/>
      <c r="K151" s="1"/>
      <c r="L151" s="1"/>
      <c r="M151" s="1"/>
      <c r="N151" s="1"/>
      <c r="O151" s="1">
        <f t="shared" si="30"/>
        <v>96</v>
      </c>
      <c r="P151" s="95">
        <f t="shared" si="31"/>
        <v>5509050.0825422788</v>
      </c>
      <c r="Q151" s="95">
        <f t="shared" si="32"/>
        <v>150000.00118750075</v>
      </c>
      <c r="R151" s="95">
        <f t="shared" si="33"/>
        <v>5359050.0813547783</v>
      </c>
      <c r="S151" s="95">
        <f t="shared" si="34"/>
        <v>5401783.8992690295</v>
      </c>
      <c r="T151" s="1"/>
      <c r="U151" s="1">
        <f t="shared" si="35"/>
        <v>96</v>
      </c>
      <c r="V151" s="95">
        <f t="shared" si="36"/>
        <v>21000459.548900004</v>
      </c>
      <c r="W151" s="95">
        <f t="shared" si="37"/>
        <v>150000.00118750075</v>
      </c>
      <c r="X151" s="95">
        <f t="shared" si="38"/>
        <v>20850459.547712505</v>
      </c>
      <c r="Y151" s="95">
        <f t="shared" si="39"/>
        <v>21048305.24095165</v>
      </c>
      <c r="Z151" s="1"/>
      <c r="AA151" s="1"/>
      <c r="AB151" s="1"/>
      <c r="AC151" s="1"/>
      <c r="AD151" s="1"/>
      <c r="AE151" s="1"/>
      <c r="AF151" s="1"/>
      <c r="AG151" s="1"/>
      <c r="AH151" s="1"/>
    </row>
    <row r="152" spans="8:34" x14ac:dyDescent="0.35">
      <c r="H152" s="1"/>
      <c r="I152" s="1"/>
      <c r="J152" s="1"/>
      <c r="K152" s="1"/>
      <c r="L152" s="1"/>
      <c r="M152" s="1"/>
      <c r="N152" s="1"/>
      <c r="O152" s="1">
        <f t="shared" si="30"/>
        <v>97</v>
      </c>
      <c r="P152" s="95">
        <f t="shared" si="31"/>
        <v>5401783.8992690295</v>
      </c>
      <c r="Q152" s="95">
        <f t="shared" si="32"/>
        <v>150000.00120000076</v>
      </c>
      <c r="R152" s="95">
        <f t="shared" si="33"/>
        <v>5251783.8980690287</v>
      </c>
      <c r="S152" s="95">
        <f t="shared" si="34"/>
        <v>5293662.360374487</v>
      </c>
      <c r="T152" s="1"/>
      <c r="U152" s="1">
        <f t="shared" si="35"/>
        <v>97</v>
      </c>
      <c r="V152" s="95">
        <f t="shared" si="36"/>
        <v>21048305.24095165</v>
      </c>
      <c r="W152" s="95">
        <f t="shared" si="37"/>
        <v>150000.00120000076</v>
      </c>
      <c r="X152" s="95">
        <f t="shared" si="38"/>
        <v>20898305.239751648</v>
      </c>
      <c r="Y152" s="95">
        <f t="shared" si="39"/>
        <v>21096604.930855364</v>
      </c>
      <c r="Z152" s="1"/>
      <c r="AA152" s="1"/>
      <c r="AB152" s="1"/>
      <c r="AC152" s="1"/>
      <c r="AD152" s="1"/>
      <c r="AE152" s="1"/>
      <c r="AF152" s="1"/>
      <c r="AG152" s="1"/>
      <c r="AH152" s="1"/>
    </row>
    <row r="153" spans="8:34" x14ac:dyDescent="0.35">
      <c r="H153" s="1"/>
      <c r="I153" s="1"/>
      <c r="J153" s="1"/>
      <c r="K153" s="1"/>
      <c r="L153" s="1"/>
      <c r="M153" s="1"/>
      <c r="N153" s="1"/>
      <c r="O153" s="1">
        <f t="shared" si="30"/>
        <v>98</v>
      </c>
      <c r="P153" s="95">
        <f t="shared" si="31"/>
        <v>5293662.360374487</v>
      </c>
      <c r="Q153" s="95">
        <f t="shared" si="32"/>
        <v>150000.00121250076</v>
      </c>
      <c r="R153" s="95">
        <f t="shared" si="33"/>
        <v>5143662.359161986</v>
      </c>
      <c r="S153" s="95">
        <f t="shared" si="34"/>
        <v>5184678.6451328099</v>
      </c>
      <c r="T153" s="1"/>
      <c r="U153" s="1">
        <f t="shared" si="35"/>
        <v>98</v>
      </c>
      <c r="V153" s="95">
        <f t="shared" si="36"/>
        <v>21096604.930855364</v>
      </c>
      <c r="W153" s="95">
        <f t="shared" si="37"/>
        <v>150000.00121250076</v>
      </c>
      <c r="X153" s="95">
        <f t="shared" si="38"/>
        <v>20946604.929642864</v>
      </c>
      <c r="Y153" s="95">
        <f t="shared" si="39"/>
        <v>21145362.92650276</v>
      </c>
      <c r="Z153" s="1"/>
      <c r="AA153" s="1"/>
      <c r="AB153" s="1"/>
      <c r="AC153" s="1"/>
      <c r="AD153" s="1"/>
      <c r="AE153" s="1"/>
      <c r="AF153" s="1"/>
      <c r="AG153" s="1"/>
      <c r="AH153" s="1"/>
    </row>
    <row r="154" spans="8:34" x14ac:dyDescent="0.35">
      <c r="H154" s="1"/>
      <c r="I154" s="1"/>
      <c r="J154" s="1"/>
      <c r="K154" s="1"/>
      <c r="L154" s="1"/>
      <c r="M154" s="1"/>
      <c r="N154" s="1"/>
      <c r="O154" s="1">
        <f t="shared" si="30"/>
        <v>99</v>
      </c>
      <c r="P154" s="95">
        <f t="shared" si="31"/>
        <v>5184678.6451328099</v>
      </c>
      <c r="Q154" s="95">
        <f t="shared" si="32"/>
        <v>150000.00122500077</v>
      </c>
      <c r="R154" s="95">
        <f t="shared" si="33"/>
        <v>5034678.6439078087</v>
      </c>
      <c r="S154" s="95">
        <f t="shared" si="34"/>
        <v>5074825.878428732</v>
      </c>
      <c r="T154" s="1"/>
      <c r="U154" s="1">
        <f t="shared" si="35"/>
        <v>99</v>
      </c>
      <c r="V154" s="95">
        <f t="shared" si="36"/>
        <v>21145362.92650276</v>
      </c>
      <c r="W154" s="95">
        <f t="shared" si="37"/>
        <v>150000.00122500077</v>
      </c>
      <c r="X154" s="95">
        <f t="shared" si="38"/>
        <v>20995362.925277758</v>
      </c>
      <c r="Y154" s="95">
        <f t="shared" si="39"/>
        <v>21194583.576662142</v>
      </c>
      <c r="Z154" s="1"/>
      <c r="AA154" s="1"/>
      <c r="AB154" s="1"/>
      <c r="AC154" s="1"/>
      <c r="AD154" s="1"/>
      <c r="AE154" s="1"/>
      <c r="AF154" s="1"/>
      <c r="AG154" s="1"/>
      <c r="AH154" s="1"/>
    </row>
    <row r="155" spans="8:34" x14ac:dyDescent="0.35">
      <c r="H155" s="1"/>
      <c r="I155" s="1"/>
      <c r="J155" s="1"/>
      <c r="K155" s="1"/>
      <c r="L155" s="1"/>
      <c r="M155" s="1"/>
      <c r="N155" s="1"/>
      <c r="O155" s="1">
        <f t="shared" si="30"/>
        <v>100</v>
      </c>
      <c r="P155" s="95">
        <f t="shared" si="31"/>
        <v>5074825.878428732</v>
      </c>
      <c r="Q155" s="95">
        <f t="shared" si="32"/>
        <v>150000.00123750078</v>
      </c>
      <c r="R155" s="95">
        <f t="shared" si="33"/>
        <v>4924825.8771912316</v>
      </c>
      <c r="S155" s="95">
        <f t="shared" si="34"/>
        <v>4964097.1303238533</v>
      </c>
      <c r="T155" s="1"/>
      <c r="U155" s="1">
        <f t="shared" si="35"/>
        <v>100</v>
      </c>
      <c r="V155" s="95">
        <f t="shared" si="36"/>
        <v>21194583.576662142</v>
      </c>
      <c r="W155" s="95">
        <f t="shared" si="37"/>
        <v>150000.00123750078</v>
      </c>
      <c r="X155" s="95">
        <f t="shared" si="38"/>
        <v>21044583.575424641</v>
      </c>
      <c r="Y155" s="95">
        <f t="shared" si="39"/>
        <v>21244271.271366373</v>
      </c>
      <c r="Z155" s="1"/>
      <c r="AA155" s="1"/>
      <c r="AB155" s="1"/>
      <c r="AC155" s="1"/>
      <c r="AD155" s="1"/>
      <c r="AE155" s="1"/>
      <c r="AF155" s="1"/>
      <c r="AG155" s="1"/>
      <c r="AH155" s="1"/>
    </row>
    <row r="156" spans="8:34" x14ac:dyDescent="0.35">
      <c r="H156" s="1"/>
      <c r="I156" s="1"/>
      <c r="J156" s="1"/>
      <c r="K156" s="1"/>
      <c r="L156" s="1"/>
      <c r="M156" s="1"/>
      <c r="N156" s="1"/>
      <c r="O156" s="1">
        <f t="shared" si="30"/>
        <v>101</v>
      </c>
      <c r="P156" s="95">
        <f t="shared" si="31"/>
        <v>4964097.1303238533</v>
      </c>
      <c r="Q156" s="95">
        <f t="shared" si="32"/>
        <v>150000.00125000079</v>
      </c>
      <c r="R156" s="95">
        <f t="shared" si="33"/>
        <v>4814097.1290738527</v>
      </c>
      <c r="S156" s="95">
        <f t="shared" si="34"/>
        <v>4852485.4156194702</v>
      </c>
      <c r="T156" s="1"/>
      <c r="U156" s="1">
        <f t="shared" si="35"/>
        <v>101</v>
      </c>
      <c r="V156" s="95">
        <f t="shared" si="36"/>
        <v>21244271.271366373</v>
      </c>
      <c r="W156" s="95">
        <f t="shared" si="37"/>
        <v>150000.00125000079</v>
      </c>
      <c r="X156" s="95">
        <f t="shared" si="38"/>
        <v>21094271.27011637</v>
      </c>
      <c r="Y156" s="95">
        <f t="shared" si="39"/>
        <v>21294430.442304429</v>
      </c>
      <c r="Z156" s="1"/>
      <c r="AA156" s="1"/>
      <c r="AB156" s="1"/>
      <c r="AC156" s="1"/>
      <c r="AD156" s="1"/>
      <c r="AE156" s="1"/>
      <c r="AF156" s="1"/>
      <c r="AG156" s="1"/>
      <c r="AH156" s="1"/>
    </row>
    <row r="157" spans="8:34" x14ac:dyDescent="0.35">
      <c r="H157" s="1"/>
      <c r="I157" s="1"/>
      <c r="J157" s="1"/>
      <c r="K157" s="1"/>
      <c r="L157" s="1"/>
      <c r="M157" s="1"/>
      <c r="N157" s="1"/>
      <c r="O157" s="1">
        <f t="shared" si="30"/>
        <v>102</v>
      </c>
      <c r="P157" s="95">
        <f t="shared" si="31"/>
        <v>4852485.4156194702</v>
      </c>
      <c r="Q157" s="95">
        <f t="shared" si="32"/>
        <v>150000.00126250079</v>
      </c>
      <c r="R157" s="95">
        <f t="shared" si="33"/>
        <v>4702485.4143569693</v>
      </c>
      <c r="S157" s="95">
        <f t="shared" si="34"/>
        <v>4739983.693415923</v>
      </c>
      <c r="T157" s="1"/>
      <c r="U157" s="1">
        <f t="shared" si="35"/>
        <v>102</v>
      </c>
      <c r="V157" s="95">
        <f t="shared" si="36"/>
        <v>21294430.442304429</v>
      </c>
      <c r="W157" s="95">
        <f t="shared" si="37"/>
        <v>150000.00126250079</v>
      </c>
      <c r="X157" s="95">
        <f t="shared" si="38"/>
        <v>21144430.441041928</v>
      </c>
      <c r="Y157" s="95">
        <f t="shared" si="39"/>
        <v>21345065.563216668</v>
      </c>
      <c r="Z157" s="1"/>
      <c r="AA157" s="1"/>
      <c r="AB157" s="1"/>
      <c r="AC157" s="1"/>
      <c r="AD157" s="1"/>
      <c r="AE157" s="1"/>
      <c r="AF157" s="1"/>
      <c r="AG157" s="1"/>
      <c r="AH157" s="1"/>
    </row>
    <row r="158" spans="8:34" x14ac:dyDescent="0.35">
      <c r="H158" s="1"/>
      <c r="I158" s="1"/>
      <c r="J158" s="1"/>
      <c r="K158" s="1"/>
      <c r="L158" s="1"/>
      <c r="M158" s="1"/>
      <c r="N158" s="1"/>
      <c r="O158" s="1">
        <f t="shared" si="30"/>
        <v>103</v>
      </c>
      <c r="P158" s="95">
        <f t="shared" si="31"/>
        <v>4739983.693415923</v>
      </c>
      <c r="Q158" s="95">
        <f t="shared" si="32"/>
        <v>150000.0012750008</v>
      </c>
      <c r="R158" s="95">
        <f t="shared" si="33"/>
        <v>4589983.692140922</v>
      </c>
      <c r="S158" s="95">
        <f t="shared" si="34"/>
        <v>4626584.866668432</v>
      </c>
      <c r="T158" s="1"/>
      <c r="U158" s="1">
        <f t="shared" si="35"/>
        <v>103</v>
      </c>
      <c r="V158" s="95">
        <f t="shared" si="36"/>
        <v>21345065.563216668</v>
      </c>
      <c r="W158" s="95">
        <f t="shared" si="37"/>
        <v>150000.0012750008</v>
      </c>
      <c r="X158" s="95">
        <f t="shared" si="38"/>
        <v>21195065.561941668</v>
      </c>
      <c r="Y158" s="95">
        <f t="shared" si="39"/>
        <v>21396181.150293846</v>
      </c>
      <c r="Z158" s="1"/>
      <c r="AA158" s="1"/>
      <c r="AB158" s="1"/>
      <c r="AC158" s="1"/>
      <c r="AD158" s="1"/>
      <c r="AE158" s="1"/>
      <c r="AF158" s="1"/>
      <c r="AG158" s="1"/>
      <c r="AH158" s="1"/>
    </row>
    <row r="159" spans="8:34" x14ac:dyDescent="0.35">
      <c r="H159" s="1"/>
      <c r="I159" s="1"/>
      <c r="J159" s="1"/>
      <c r="K159" s="1"/>
      <c r="L159" s="1"/>
      <c r="M159" s="1"/>
      <c r="N159" s="1"/>
      <c r="O159" s="1">
        <f t="shared" si="30"/>
        <v>104</v>
      </c>
      <c r="P159" s="95">
        <f t="shared" si="31"/>
        <v>4626584.866668432</v>
      </c>
      <c r="Q159" s="95">
        <f t="shared" si="32"/>
        <v>150000.00128750081</v>
      </c>
      <c r="R159" s="95">
        <f t="shared" si="33"/>
        <v>4476584.8653809316</v>
      </c>
      <c r="S159" s="95">
        <f t="shared" si="34"/>
        <v>4512281.7817393849</v>
      </c>
      <c r="T159" s="1"/>
      <c r="U159" s="1">
        <f t="shared" si="35"/>
        <v>104</v>
      </c>
      <c r="V159" s="95">
        <f t="shared" si="36"/>
        <v>21396181.150293846</v>
      </c>
      <c r="W159" s="95">
        <f t="shared" si="37"/>
        <v>150000.00128750081</v>
      </c>
      <c r="X159" s="95">
        <f t="shared" si="38"/>
        <v>21246181.149006344</v>
      </c>
      <c r="Y159" s="95">
        <f t="shared" si="39"/>
        <v>21447781.762579907</v>
      </c>
      <c r="Z159" s="1"/>
      <c r="AA159" s="1"/>
      <c r="AB159" s="1"/>
      <c r="AC159" s="1"/>
      <c r="AD159" s="1"/>
      <c r="AE159" s="1"/>
      <c r="AF159" s="1"/>
      <c r="AG159" s="1"/>
      <c r="AH159" s="1"/>
    </row>
    <row r="160" spans="8:34" x14ac:dyDescent="0.35">
      <c r="H160" s="1"/>
      <c r="I160" s="1"/>
      <c r="J160" s="1"/>
      <c r="K160" s="1"/>
      <c r="L160" s="1"/>
      <c r="M160" s="1"/>
      <c r="N160" s="1"/>
      <c r="O160" s="1">
        <f t="shared" si="30"/>
        <v>105</v>
      </c>
      <c r="P160" s="95">
        <f t="shared" si="31"/>
        <v>4512281.7817393849</v>
      </c>
      <c r="Q160" s="95">
        <f t="shared" si="32"/>
        <v>150000.00130000082</v>
      </c>
      <c r="R160" s="95">
        <f t="shared" si="33"/>
        <v>4362281.7804393843</v>
      </c>
      <c r="S160" s="95">
        <f t="shared" si="34"/>
        <v>4397067.2279470563</v>
      </c>
      <c r="T160" s="1"/>
      <c r="U160" s="1">
        <f t="shared" si="35"/>
        <v>105</v>
      </c>
      <c r="V160" s="95">
        <f t="shared" si="36"/>
        <v>21447781.762579907</v>
      </c>
      <c r="W160" s="95">
        <f t="shared" si="37"/>
        <v>150000.00130000082</v>
      </c>
      <c r="X160" s="95">
        <f t="shared" si="38"/>
        <v>21297781.761279907</v>
      </c>
      <c r="Y160" s="95">
        <f t="shared" si="39"/>
        <v>21499872.002378631</v>
      </c>
      <c r="Z160" s="1"/>
      <c r="AA160" s="1"/>
      <c r="AB160" s="1"/>
      <c r="AC160" s="1"/>
      <c r="AD160" s="1"/>
      <c r="AE160" s="1"/>
      <c r="AF160" s="1"/>
      <c r="AG160" s="1"/>
      <c r="AH160" s="1"/>
    </row>
    <row r="161" spans="8:34" x14ac:dyDescent="0.35">
      <c r="H161" s="1"/>
      <c r="I161" s="1"/>
      <c r="J161" s="1"/>
      <c r="K161" s="1"/>
      <c r="L161" s="1"/>
      <c r="M161" s="1"/>
      <c r="N161" s="1"/>
      <c r="O161" s="1">
        <f t="shared" si="30"/>
        <v>106</v>
      </c>
      <c r="P161" s="95">
        <f t="shared" si="31"/>
        <v>4397067.2279470563</v>
      </c>
      <c r="Q161" s="95">
        <f t="shared" si="32"/>
        <v>150000.00131250083</v>
      </c>
      <c r="R161" s="95">
        <f t="shared" si="33"/>
        <v>4247067.2266345555</v>
      </c>
      <c r="S161" s="95">
        <f t="shared" si="34"/>
        <v>4280933.9371107342</v>
      </c>
      <c r="T161" s="1"/>
      <c r="U161" s="1">
        <f t="shared" si="35"/>
        <v>106</v>
      </c>
      <c r="V161" s="95">
        <f t="shared" si="36"/>
        <v>21499872.002378631</v>
      </c>
      <c r="W161" s="95">
        <f t="shared" si="37"/>
        <v>150000.00131250083</v>
      </c>
      <c r="X161" s="95">
        <f t="shared" si="38"/>
        <v>21349872.00106613</v>
      </c>
      <c r="Y161" s="95">
        <f t="shared" si="39"/>
        <v>21552456.515664097</v>
      </c>
      <c r="Z161" s="1"/>
      <c r="AA161" s="1"/>
      <c r="AB161" s="1"/>
      <c r="AC161" s="1"/>
      <c r="AD161" s="1"/>
      <c r="AE161" s="1"/>
      <c r="AF161" s="1"/>
      <c r="AG161" s="1"/>
      <c r="AH161" s="1"/>
    </row>
    <row r="162" spans="8:34" x14ac:dyDescent="0.35">
      <c r="H162" s="1"/>
      <c r="I162" s="1"/>
      <c r="J162" s="1"/>
      <c r="K162" s="1"/>
      <c r="L162" s="1"/>
      <c r="M162" s="1"/>
      <c r="N162" s="1"/>
      <c r="O162" s="1">
        <f t="shared" si="30"/>
        <v>107</v>
      </c>
      <c r="P162" s="95">
        <f t="shared" si="31"/>
        <v>4280933.9371107342</v>
      </c>
      <c r="Q162" s="95">
        <f t="shared" si="32"/>
        <v>150000.00132500083</v>
      </c>
      <c r="R162" s="95">
        <f t="shared" si="33"/>
        <v>4130933.9357857332</v>
      </c>
      <c r="S162" s="95">
        <f t="shared" si="34"/>
        <v>4163874.5830922127</v>
      </c>
      <c r="T162" s="1"/>
      <c r="U162" s="1">
        <f t="shared" si="35"/>
        <v>107</v>
      </c>
      <c r="V162" s="95">
        <f t="shared" si="36"/>
        <v>21552456.515664097</v>
      </c>
      <c r="W162" s="95">
        <f t="shared" si="37"/>
        <v>150000.00132500083</v>
      </c>
      <c r="X162" s="95">
        <f t="shared" si="38"/>
        <v>21402456.514339097</v>
      </c>
      <c r="Y162" s="95">
        <f t="shared" si="39"/>
        <v>21605539.992495079</v>
      </c>
      <c r="Z162" s="1"/>
      <c r="AA162" s="1"/>
      <c r="AB162" s="1"/>
      <c r="AC162" s="1"/>
      <c r="AD162" s="1"/>
      <c r="AE162" s="1"/>
      <c r="AF162" s="1"/>
      <c r="AG162" s="1"/>
      <c r="AH162" s="1"/>
    </row>
    <row r="163" spans="8:34" x14ac:dyDescent="0.35">
      <c r="H163" s="1"/>
      <c r="I163" s="1"/>
      <c r="J163" s="1"/>
      <c r="K163" s="1"/>
      <c r="L163" s="1"/>
      <c r="M163" s="1"/>
      <c r="N163" s="1"/>
      <c r="O163" s="1">
        <f t="shared" si="30"/>
        <v>108</v>
      </c>
      <c r="P163" s="95">
        <f t="shared" si="31"/>
        <v>4163874.5830922127</v>
      </c>
      <c r="Q163" s="95">
        <f t="shared" si="32"/>
        <v>150000.00133750084</v>
      </c>
      <c r="R163" s="95">
        <f t="shared" si="33"/>
        <v>4013874.5817547119</v>
      </c>
      <c r="S163" s="95">
        <f t="shared" si="34"/>
        <v>4045881.7813336314</v>
      </c>
      <c r="T163" s="1"/>
      <c r="U163" s="1">
        <f t="shared" si="35"/>
        <v>108</v>
      </c>
      <c r="V163" s="95">
        <f t="shared" si="36"/>
        <v>21605539.992495079</v>
      </c>
      <c r="W163" s="95">
        <f t="shared" si="37"/>
        <v>150000.00133750084</v>
      </c>
      <c r="X163" s="95">
        <f t="shared" si="38"/>
        <v>21455539.991157576</v>
      </c>
      <c r="Y163" s="95">
        <f t="shared" si="39"/>
        <v>21659127.167433336</v>
      </c>
      <c r="Z163" s="1"/>
      <c r="AA163" s="1"/>
      <c r="AB163" s="1"/>
      <c r="AC163" s="1"/>
      <c r="AD163" s="1"/>
      <c r="AE163" s="1"/>
      <c r="AF163" s="1"/>
      <c r="AG163" s="1"/>
      <c r="AH163" s="1"/>
    </row>
    <row r="164" spans="8:34" x14ac:dyDescent="0.35">
      <c r="H164" s="1"/>
      <c r="I164" s="1"/>
      <c r="J164" s="1"/>
      <c r="K164" s="1"/>
      <c r="L164" s="1"/>
      <c r="M164" s="1"/>
      <c r="N164" s="1"/>
      <c r="O164" s="1">
        <f t="shared" si="30"/>
        <v>109</v>
      </c>
      <c r="P164" s="95">
        <f t="shared" si="31"/>
        <v>4045881.7813336314</v>
      </c>
      <c r="Q164" s="95">
        <f t="shared" si="32"/>
        <v>150000.00135000085</v>
      </c>
      <c r="R164" s="95">
        <f t="shared" si="33"/>
        <v>3895881.7799836304</v>
      </c>
      <c r="S164" s="95">
        <f t="shared" si="34"/>
        <v>3926948.0883916277</v>
      </c>
      <c r="T164" s="1"/>
      <c r="U164" s="1">
        <f t="shared" si="35"/>
        <v>109</v>
      </c>
      <c r="V164" s="95">
        <f t="shared" si="36"/>
        <v>21659127.167433336</v>
      </c>
      <c r="W164" s="95">
        <f t="shared" si="37"/>
        <v>150000.00135000085</v>
      </c>
      <c r="X164" s="95">
        <f t="shared" si="38"/>
        <v>21509127.166083336</v>
      </c>
      <c r="Y164" s="95">
        <f t="shared" si="39"/>
        <v>21713222.819965914</v>
      </c>
      <c r="Z164" s="1"/>
      <c r="AA164" s="1"/>
      <c r="AB164" s="1"/>
      <c r="AC164" s="1"/>
      <c r="AD164" s="1"/>
      <c r="AE164" s="1"/>
      <c r="AF164" s="1"/>
      <c r="AG164" s="1"/>
      <c r="AH164" s="1"/>
    </row>
    <row r="165" spans="8:34" x14ac:dyDescent="0.35">
      <c r="H165" s="1"/>
      <c r="I165" s="1"/>
      <c r="J165" s="1"/>
      <c r="K165" s="1"/>
      <c r="L165" s="1"/>
      <c r="M165" s="1"/>
      <c r="N165" s="1"/>
      <c r="O165" s="1">
        <f t="shared" si="30"/>
        <v>110</v>
      </c>
      <c r="P165" s="95">
        <f t="shared" si="31"/>
        <v>3926948.0883916277</v>
      </c>
      <c r="Q165" s="95">
        <f t="shared" si="32"/>
        <v>150000.00136250086</v>
      </c>
      <c r="R165" s="95">
        <f t="shared" si="33"/>
        <v>3776948.0870291269</v>
      </c>
      <c r="S165" s="95">
        <f t="shared" si="34"/>
        <v>3807066.0014677765</v>
      </c>
      <c r="T165" s="1"/>
      <c r="U165" s="1">
        <f t="shared" si="35"/>
        <v>110</v>
      </c>
      <c r="V165" s="95">
        <f t="shared" si="36"/>
        <v>21713222.819965914</v>
      </c>
      <c r="W165" s="95">
        <f t="shared" si="37"/>
        <v>150000.00136250086</v>
      </c>
      <c r="X165" s="95">
        <f t="shared" si="38"/>
        <v>21563222.818603411</v>
      </c>
      <c r="Y165" s="95">
        <f t="shared" si="39"/>
        <v>21767831.774931416</v>
      </c>
      <c r="Z165" s="1"/>
      <c r="AA165" s="1"/>
      <c r="AB165" s="1"/>
      <c r="AC165" s="1"/>
      <c r="AD165" s="1"/>
      <c r="AE165" s="1"/>
      <c r="AF165" s="1"/>
      <c r="AG165" s="1"/>
      <c r="AH165" s="1"/>
    </row>
    <row r="166" spans="8:34" x14ac:dyDescent="0.35">
      <c r="H166" s="1"/>
      <c r="I166" s="1"/>
      <c r="J166" s="1"/>
      <c r="K166" s="1"/>
      <c r="L166" s="1"/>
      <c r="M166" s="1"/>
      <c r="N166" s="1"/>
      <c r="O166" s="1">
        <f t="shared" si="30"/>
        <v>111</v>
      </c>
      <c r="P166" s="95">
        <f t="shared" si="31"/>
        <v>3807066.0014677765</v>
      </c>
      <c r="Q166" s="95">
        <f t="shared" si="32"/>
        <v>150000.00137500087</v>
      </c>
      <c r="R166" s="95">
        <f t="shared" si="33"/>
        <v>3657066.0000927756</v>
      </c>
      <c r="S166" s="95">
        <f t="shared" si="34"/>
        <v>3686227.9579352848</v>
      </c>
      <c r="T166" s="1"/>
      <c r="U166" s="1">
        <f t="shared" si="35"/>
        <v>111</v>
      </c>
      <c r="V166" s="95">
        <f t="shared" si="36"/>
        <v>21767831.774931416</v>
      </c>
      <c r="W166" s="95">
        <f t="shared" si="37"/>
        <v>150000.00137500087</v>
      </c>
      <c r="X166" s="95">
        <f t="shared" si="38"/>
        <v>21617831.773556415</v>
      </c>
      <c r="Y166" s="95">
        <f t="shared" si="39"/>
        <v>21822958.902950343</v>
      </c>
      <c r="Z166" s="1"/>
      <c r="AA166" s="1"/>
      <c r="AB166" s="1"/>
      <c r="AC166" s="1"/>
      <c r="AD166" s="1"/>
      <c r="AE166" s="1"/>
      <c r="AF166" s="1"/>
      <c r="AG166" s="1"/>
      <c r="AH166" s="1"/>
    </row>
    <row r="167" spans="8:34" x14ac:dyDescent="0.35">
      <c r="H167" s="1"/>
      <c r="I167" s="1"/>
      <c r="J167" s="1"/>
      <c r="K167" s="1"/>
      <c r="L167" s="1"/>
      <c r="M167" s="1"/>
      <c r="N167" s="1"/>
      <c r="O167" s="1">
        <f t="shared" si="30"/>
        <v>112</v>
      </c>
      <c r="P167" s="95">
        <f t="shared" si="31"/>
        <v>3686227.9579352848</v>
      </c>
      <c r="Q167" s="95">
        <f t="shared" si="32"/>
        <v>150000.00138750087</v>
      </c>
      <c r="R167" s="95">
        <f t="shared" si="33"/>
        <v>3536227.9565477842</v>
      </c>
      <c r="S167" s="95">
        <f t="shared" si="34"/>
        <v>3564426.3348619114</v>
      </c>
      <c r="T167" s="1"/>
      <c r="U167" s="1">
        <f t="shared" si="35"/>
        <v>112</v>
      </c>
      <c r="V167" s="95">
        <f t="shared" si="36"/>
        <v>21822958.902950343</v>
      </c>
      <c r="W167" s="95">
        <f t="shared" si="37"/>
        <v>150000.00138750087</v>
      </c>
      <c r="X167" s="95">
        <f t="shared" si="38"/>
        <v>21672958.901562843</v>
      </c>
      <c r="Y167" s="95">
        <f t="shared" si="39"/>
        <v>21878609.1208595</v>
      </c>
      <c r="Z167" s="1"/>
      <c r="AA167" s="1"/>
      <c r="AB167" s="1"/>
      <c r="AC167" s="1"/>
      <c r="AD167" s="1"/>
      <c r="AE167" s="1"/>
      <c r="AF167" s="1"/>
      <c r="AG167" s="1"/>
      <c r="AH167" s="1"/>
    </row>
    <row r="168" spans="8:34" x14ac:dyDescent="0.35">
      <c r="H168" s="1"/>
      <c r="I168" s="1"/>
      <c r="J168" s="1"/>
      <c r="K168" s="1"/>
      <c r="L168" s="1"/>
      <c r="M168" s="1"/>
      <c r="N168" s="1"/>
      <c r="O168" s="1">
        <f t="shared" si="30"/>
        <v>113</v>
      </c>
      <c r="P168" s="95">
        <f t="shared" si="31"/>
        <v>3564426.3348619114</v>
      </c>
      <c r="Q168" s="95">
        <f t="shared" si="32"/>
        <v>150000.00140000088</v>
      </c>
      <c r="R168" s="95">
        <f t="shared" si="33"/>
        <v>3414426.3334619105</v>
      </c>
      <c r="S168" s="95">
        <f t="shared" si="34"/>
        <v>3441653.4485290828</v>
      </c>
      <c r="T168" s="1"/>
      <c r="U168" s="1">
        <f t="shared" si="35"/>
        <v>113</v>
      </c>
      <c r="V168" s="95">
        <f t="shared" si="36"/>
        <v>21878609.1208595</v>
      </c>
      <c r="W168" s="95">
        <f t="shared" si="37"/>
        <v>150000.00140000088</v>
      </c>
      <c r="X168" s="95">
        <f t="shared" si="38"/>
        <v>21728609.119459499</v>
      </c>
      <c r="Y168" s="95">
        <f t="shared" si="39"/>
        <v>21934787.392150544</v>
      </c>
      <c r="Z168" s="1"/>
      <c r="AA168" s="1"/>
      <c r="AB168" s="1"/>
      <c r="AC168" s="1"/>
      <c r="AD168" s="1"/>
      <c r="AE168" s="1"/>
      <c r="AF168" s="1"/>
      <c r="AG168" s="1"/>
      <c r="AH168" s="1"/>
    </row>
    <row r="169" spans="8:34" x14ac:dyDescent="0.35">
      <c r="H169" s="1"/>
      <c r="I169" s="1"/>
      <c r="J169" s="1"/>
      <c r="K169" s="1"/>
      <c r="L169" s="1"/>
      <c r="M169" s="1"/>
      <c r="N169" s="1"/>
      <c r="O169" s="1">
        <f t="shared" si="30"/>
        <v>114</v>
      </c>
      <c r="P169" s="95">
        <f t="shared" si="31"/>
        <v>3441653.4485290828</v>
      </c>
      <c r="Q169" s="95">
        <f t="shared" si="32"/>
        <v>150000.00141250089</v>
      </c>
      <c r="R169" s="95">
        <f t="shared" si="33"/>
        <v>3291653.4471165817</v>
      </c>
      <c r="S169" s="95">
        <f t="shared" si="34"/>
        <v>3317901.5539471745</v>
      </c>
      <c r="T169" s="1"/>
      <c r="U169" s="1">
        <f t="shared" si="35"/>
        <v>114</v>
      </c>
      <c r="V169" s="95">
        <f t="shared" si="36"/>
        <v>21934787.392150544</v>
      </c>
      <c r="W169" s="95">
        <f t="shared" si="37"/>
        <v>150000.00141250089</v>
      </c>
      <c r="X169" s="95">
        <f t="shared" si="38"/>
        <v>21784787.390738044</v>
      </c>
      <c r="Y169" s="95">
        <f t="shared" si="39"/>
        <v>21991498.727412675</v>
      </c>
      <c r="Z169" s="1"/>
      <c r="AA169" s="1"/>
      <c r="AB169" s="1"/>
      <c r="AC169" s="1"/>
      <c r="AD169" s="1"/>
      <c r="AE169" s="1"/>
      <c r="AF169" s="1"/>
      <c r="AG169" s="1"/>
      <c r="AH169" s="1"/>
    </row>
    <row r="170" spans="8:34" x14ac:dyDescent="0.35">
      <c r="H170" s="1"/>
      <c r="I170" s="1"/>
      <c r="J170" s="1"/>
      <c r="K170" s="1"/>
      <c r="L170" s="1"/>
      <c r="M170" s="1"/>
      <c r="N170" s="1"/>
      <c r="O170" s="1">
        <f t="shared" si="30"/>
        <v>115</v>
      </c>
      <c r="P170" s="95">
        <f t="shared" si="31"/>
        <v>3317901.5539471745</v>
      </c>
      <c r="Q170" s="95">
        <f t="shared" si="32"/>
        <v>150000.0014250009</v>
      </c>
      <c r="R170" s="95">
        <f t="shared" si="33"/>
        <v>3167901.5525221736</v>
      </c>
      <c r="S170" s="95">
        <f t="shared" si="34"/>
        <v>3193162.8443669276</v>
      </c>
      <c r="T170" s="1"/>
      <c r="U170" s="1">
        <f t="shared" si="35"/>
        <v>115</v>
      </c>
      <c r="V170" s="95">
        <f t="shared" si="36"/>
        <v>21991498.727412675</v>
      </c>
      <c r="W170" s="95">
        <f t="shared" si="37"/>
        <v>150000.0014250009</v>
      </c>
      <c r="X170" s="95">
        <f t="shared" si="38"/>
        <v>21841498.725987673</v>
      </c>
      <c r="Y170" s="95">
        <f t="shared" si="39"/>
        <v>22048748.184779529</v>
      </c>
      <c r="Z170" s="1"/>
      <c r="AA170" s="1"/>
      <c r="AB170" s="1"/>
      <c r="AC170" s="1"/>
      <c r="AD170" s="1"/>
      <c r="AE170" s="1"/>
      <c r="AF170" s="1"/>
      <c r="AG170" s="1"/>
      <c r="AH170" s="1"/>
    </row>
    <row r="171" spans="8:34" x14ac:dyDescent="0.35">
      <c r="H171" s="1"/>
      <c r="I171" s="1"/>
      <c r="J171" s="1"/>
      <c r="K171" s="1"/>
      <c r="L171" s="1"/>
      <c r="M171" s="1"/>
      <c r="N171" s="1"/>
      <c r="O171" s="1">
        <f t="shared" si="30"/>
        <v>116</v>
      </c>
      <c r="P171" s="95">
        <f t="shared" si="31"/>
        <v>3193162.8443669276</v>
      </c>
      <c r="Q171" s="95">
        <f t="shared" si="32"/>
        <v>150000.00143750091</v>
      </c>
      <c r="R171" s="95">
        <f t="shared" si="33"/>
        <v>3043162.8429294266</v>
      </c>
      <c r="S171" s="95">
        <f t="shared" si="34"/>
        <v>3067429.4507869678</v>
      </c>
      <c r="T171" s="1"/>
      <c r="U171" s="1">
        <f t="shared" si="35"/>
        <v>116</v>
      </c>
      <c r="V171" s="95">
        <f t="shared" si="36"/>
        <v>22048748.184779529</v>
      </c>
      <c r="W171" s="95">
        <f t="shared" si="37"/>
        <v>150000.00143750091</v>
      </c>
      <c r="X171" s="95">
        <f t="shared" si="38"/>
        <v>21898748.183342028</v>
      </c>
      <c r="Y171" s="95">
        <f t="shared" si="39"/>
        <v>22106540.870380338</v>
      </c>
      <c r="Z171" s="1"/>
      <c r="AA171" s="1"/>
      <c r="AB171" s="1"/>
      <c r="AC171" s="1"/>
      <c r="AD171" s="1"/>
      <c r="AE171" s="1"/>
      <c r="AF171" s="1"/>
      <c r="AG171" s="1"/>
      <c r="AH171" s="1"/>
    </row>
    <row r="172" spans="8:34" x14ac:dyDescent="0.35">
      <c r="H172" s="1"/>
      <c r="I172" s="1"/>
      <c r="J172" s="1"/>
      <c r="K172" s="1"/>
      <c r="L172" s="1"/>
      <c r="M172" s="1"/>
      <c r="N172" s="1"/>
      <c r="O172" s="1">
        <f t="shared" si="30"/>
        <v>117</v>
      </c>
      <c r="P172" s="95">
        <f t="shared" si="31"/>
        <v>3067429.4507869678</v>
      </c>
      <c r="Q172" s="95">
        <f t="shared" si="32"/>
        <v>150000.00145000091</v>
      </c>
      <c r="R172" s="95">
        <f t="shared" si="33"/>
        <v>2917429.449336967</v>
      </c>
      <c r="S172" s="95">
        <f t="shared" si="34"/>
        <v>2940693.4414573992</v>
      </c>
      <c r="T172" s="1"/>
      <c r="U172" s="1">
        <f t="shared" si="35"/>
        <v>117</v>
      </c>
      <c r="V172" s="95">
        <f t="shared" si="36"/>
        <v>22106540.870380338</v>
      </c>
      <c r="W172" s="95">
        <f t="shared" si="37"/>
        <v>150000.00145000091</v>
      </c>
      <c r="X172" s="95">
        <f t="shared" si="38"/>
        <v>21956540.868930336</v>
      </c>
      <c r="Y172" s="95">
        <f t="shared" si="39"/>
        <v>22164881.938795324</v>
      </c>
      <c r="Z172" s="1"/>
      <c r="AA172" s="1"/>
      <c r="AB172" s="1"/>
      <c r="AC172" s="1"/>
      <c r="AD172" s="1"/>
      <c r="AE172" s="1"/>
      <c r="AF172" s="1"/>
      <c r="AG172" s="1"/>
      <c r="AH172" s="1"/>
    </row>
    <row r="173" spans="8:34" x14ac:dyDescent="0.35">
      <c r="H173" s="1"/>
      <c r="I173" s="1"/>
      <c r="J173" s="1"/>
      <c r="K173" s="1"/>
      <c r="L173" s="1"/>
      <c r="M173" s="1"/>
      <c r="N173" s="1"/>
      <c r="O173" s="1">
        <f t="shared" si="30"/>
        <v>118</v>
      </c>
      <c r="P173" s="95">
        <f t="shared" si="31"/>
        <v>2940693.4414573992</v>
      </c>
      <c r="Q173" s="95">
        <f t="shared" si="32"/>
        <v>150000.00146250092</v>
      </c>
      <c r="R173" s="95">
        <f t="shared" si="33"/>
        <v>2790693.4399948982</v>
      </c>
      <c r="S173" s="95">
        <f t="shared" si="34"/>
        <v>2812946.821379438</v>
      </c>
      <c r="T173" s="1"/>
      <c r="U173" s="1">
        <f t="shared" si="35"/>
        <v>118</v>
      </c>
      <c r="V173" s="95">
        <f t="shared" si="36"/>
        <v>22164881.938795324</v>
      </c>
      <c r="W173" s="95">
        <f t="shared" si="37"/>
        <v>150000.00146250092</v>
      </c>
      <c r="X173" s="95">
        <f t="shared" si="38"/>
        <v>22014881.937332824</v>
      </c>
      <c r="Y173" s="95">
        <f t="shared" si="39"/>
        <v>22223776.593515467</v>
      </c>
      <c r="Z173" s="1"/>
      <c r="AA173" s="1"/>
      <c r="AB173" s="1"/>
      <c r="AC173" s="1"/>
      <c r="AD173" s="1"/>
      <c r="AE173" s="1"/>
      <c r="AF173" s="1"/>
      <c r="AG173" s="1"/>
      <c r="AH173" s="1"/>
    </row>
    <row r="174" spans="8:34" x14ac:dyDescent="0.35">
      <c r="H174" s="1"/>
      <c r="I174" s="1"/>
      <c r="J174" s="1"/>
      <c r="K174" s="1"/>
      <c r="L174" s="1"/>
      <c r="M174" s="1"/>
      <c r="N174" s="1"/>
      <c r="O174" s="1">
        <f t="shared" si="30"/>
        <v>119</v>
      </c>
      <c r="P174" s="95">
        <f t="shared" si="31"/>
        <v>2812946.821379438</v>
      </c>
      <c r="Q174" s="95">
        <f t="shared" si="32"/>
        <v>150000.00147500093</v>
      </c>
      <c r="R174" s="95">
        <f t="shared" si="33"/>
        <v>2662946.8199044373</v>
      </c>
      <c r="S174" s="95">
        <f t="shared" si="34"/>
        <v>2684181.531801058</v>
      </c>
      <c r="T174" s="1"/>
      <c r="U174" s="1">
        <f t="shared" si="35"/>
        <v>119</v>
      </c>
      <c r="V174" s="95">
        <f t="shared" si="36"/>
        <v>22223776.593515467</v>
      </c>
      <c r="W174" s="95">
        <f t="shared" si="37"/>
        <v>150000.00147500093</v>
      </c>
      <c r="X174" s="95">
        <f t="shared" si="38"/>
        <v>22073776.592040464</v>
      </c>
      <c r="Y174" s="95">
        <f t="shared" si="39"/>
        <v>22283230.087406583</v>
      </c>
      <c r="Z174" s="1"/>
      <c r="AA174" s="1"/>
      <c r="AB174" s="1"/>
      <c r="AC174" s="1"/>
      <c r="AD174" s="1"/>
      <c r="AE174" s="1"/>
      <c r="AF174" s="1"/>
      <c r="AG174" s="1"/>
      <c r="AH174" s="1"/>
    </row>
    <row r="175" spans="8:34" x14ac:dyDescent="0.35">
      <c r="H175" s="1"/>
      <c r="I175" s="1"/>
      <c r="J175" s="1"/>
      <c r="K175" s="1"/>
      <c r="L175" s="1"/>
      <c r="M175" s="1"/>
      <c r="N175" s="1"/>
      <c r="O175" s="1">
        <f t="shared" si="30"/>
        <v>120</v>
      </c>
      <c r="P175" s="95">
        <f t="shared" si="31"/>
        <v>2684181.531801058</v>
      </c>
      <c r="Q175" s="95">
        <f t="shared" si="32"/>
        <v>150000.00148750094</v>
      </c>
      <c r="R175" s="95">
        <f t="shared" si="33"/>
        <v>2534181.530313557</v>
      </c>
      <c r="S175" s="95">
        <f t="shared" si="34"/>
        <v>2554389.4497086117</v>
      </c>
      <c r="T175" s="1"/>
      <c r="U175" s="1">
        <f t="shared" si="35"/>
        <v>120</v>
      </c>
      <c r="V175" s="95">
        <f t="shared" si="36"/>
        <v>22283230.087406583</v>
      </c>
      <c r="W175" s="95">
        <f t="shared" si="37"/>
        <v>150000.00148750094</v>
      </c>
      <c r="X175" s="95">
        <f t="shared" si="38"/>
        <v>22133230.085919082</v>
      </c>
      <c r="Y175" s="95">
        <f t="shared" si="39"/>
        <v>22343247.72317785</v>
      </c>
      <c r="Z175" s="1"/>
      <c r="AA175" s="1"/>
      <c r="AB175" s="1"/>
      <c r="AC175" s="1"/>
      <c r="AD175" s="1"/>
      <c r="AE175" s="1"/>
      <c r="AF175" s="1"/>
      <c r="AG175" s="1"/>
      <c r="AH175" s="1"/>
    </row>
    <row r="176" spans="8:34" x14ac:dyDescent="0.35"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>
        <f t="shared" si="35"/>
        <v>121</v>
      </c>
      <c r="V176" s="100">
        <f t="shared" si="36"/>
        <v>22343247.72317785</v>
      </c>
      <c r="W176" s="95">
        <f t="shared" si="37"/>
        <v>150000.00150000094</v>
      </c>
      <c r="X176" s="95">
        <f t="shared" si="38"/>
        <v>22193247.721677851</v>
      </c>
      <c r="Y176" s="95">
        <f t="shared" si="39"/>
        <v>22403834.853854761</v>
      </c>
      <c r="Z176" s="1"/>
      <c r="AA176" s="1"/>
      <c r="AB176" s="1"/>
      <c r="AC176" s="1"/>
      <c r="AD176" s="1"/>
      <c r="AE176" s="1"/>
      <c r="AF176" s="1"/>
      <c r="AG176" s="1"/>
      <c r="AH176" s="1"/>
    </row>
    <row r="177" spans="8:34" x14ac:dyDescent="0.35"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>
        <f t="shared" si="35"/>
        <v>122</v>
      </c>
      <c r="V177" s="95">
        <f t="shared" si="36"/>
        <v>22403834.853854761</v>
      </c>
      <c r="W177" s="95">
        <f t="shared" si="37"/>
        <v>150000.00151250095</v>
      </c>
      <c r="X177" s="95">
        <f t="shared" si="38"/>
        <v>22253834.852342259</v>
      </c>
      <c r="Y177" s="95">
        <f t="shared" si="39"/>
        <v>22464996.883256543</v>
      </c>
      <c r="Z177" s="1"/>
      <c r="AA177" s="1"/>
      <c r="AB177" s="1"/>
      <c r="AC177" s="1"/>
      <c r="AD177" s="1"/>
      <c r="AE177" s="1"/>
      <c r="AF177" s="1"/>
      <c r="AG177" s="1"/>
      <c r="AH177" s="1"/>
    </row>
    <row r="178" spans="8:34" x14ac:dyDescent="0.35"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>
        <f t="shared" si="35"/>
        <v>123</v>
      </c>
      <c r="V178" s="95">
        <f t="shared" si="36"/>
        <v>22464996.883256543</v>
      </c>
      <c r="W178" s="95">
        <f t="shared" si="37"/>
        <v>150000.00152500096</v>
      </c>
      <c r="X178" s="95">
        <f t="shared" si="38"/>
        <v>22314996.881731544</v>
      </c>
      <c r="Y178" s="95">
        <f t="shared" si="39"/>
        <v>22526739.266478162</v>
      </c>
      <c r="Z178" s="1"/>
      <c r="AA178" s="1"/>
      <c r="AB178" s="1"/>
      <c r="AC178" s="1"/>
      <c r="AD178" s="1"/>
      <c r="AE178" s="1"/>
      <c r="AF178" s="1"/>
      <c r="AG178" s="1"/>
      <c r="AH178" s="1"/>
    </row>
    <row r="179" spans="8:34" x14ac:dyDescent="0.35"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>
        <f t="shared" si="35"/>
        <v>124</v>
      </c>
      <c r="V179" s="95">
        <f t="shared" si="36"/>
        <v>22526739.266478162</v>
      </c>
      <c r="W179" s="95">
        <f t="shared" si="37"/>
        <v>150000.00153750097</v>
      </c>
      <c r="X179" s="95">
        <f t="shared" si="38"/>
        <v>22376739.26494066</v>
      </c>
      <c r="Y179" s="95">
        <f t="shared" si="39"/>
        <v>22589067.510376837</v>
      </c>
      <c r="Z179" s="1"/>
      <c r="AA179" s="1"/>
      <c r="AB179" s="1"/>
      <c r="AC179" s="1"/>
      <c r="AD179" s="1"/>
      <c r="AE179" s="1"/>
      <c r="AF179" s="1"/>
      <c r="AG179" s="1"/>
      <c r="AH179" s="1"/>
    </row>
    <row r="180" spans="8:34" x14ac:dyDescent="0.35"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>
        <f t="shared" si="35"/>
        <v>125</v>
      </c>
      <c r="V180" s="95">
        <f t="shared" si="36"/>
        <v>22589067.510376837</v>
      </c>
      <c r="W180" s="95">
        <f t="shared" si="37"/>
        <v>150000.00155000098</v>
      </c>
      <c r="X180" s="95">
        <f t="shared" si="38"/>
        <v>22439067.508826837</v>
      </c>
      <c r="Y180" s="95">
        <f t="shared" si="39"/>
        <v>22651987.174063224</v>
      </c>
      <c r="Z180" s="1"/>
      <c r="AA180" s="1"/>
      <c r="AB180" s="1"/>
      <c r="AC180" s="1"/>
      <c r="AD180" s="1"/>
      <c r="AE180" s="1"/>
      <c r="AF180" s="1"/>
      <c r="AG180" s="1"/>
      <c r="AH180" s="1"/>
    </row>
    <row r="181" spans="8:34" x14ac:dyDescent="0.35"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>
        <f t="shared" si="35"/>
        <v>126</v>
      </c>
      <c r="V181" s="95">
        <f t="shared" si="36"/>
        <v>22651987.174063224</v>
      </c>
      <c r="W181" s="95">
        <f t="shared" si="37"/>
        <v>150000.00156250098</v>
      </c>
      <c r="X181" s="95">
        <f t="shared" si="38"/>
        <v>22501987.172500722</v>
      </c>
      <c r="Y181" s="95">
        <f t="shared" si="39"/>
        <v>22715503.869397227</v>
      </c>
      <c r="Z181" s="1"/>
      <c r="AA181" s="1"/>
      <c r="AB181" s="1"/>
      <c r="AC181" s="1"/>
      <c r="AD181" s="1"/>
      <c r="AE181" s="1"/>
      <c r="AF181" s="1"/>
      <c r="AG181" s="1"/>
      <c r="AH181" s="1"/>
    </row>
    <row r="182" spans="8:34" x14ac:dyDescent="0.35"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>
        <f t="shared" si="35"/>
        <v>127</v>
      </c>
      <c r="V182" s="95">
        <f t="shared" si="36"/>
        <v>22715503.869397227</v>
      </c>
      <c r="W182" s="95">
        <f t="shared" si="37"/>
        <v>150000.00157500099</v>
      </c>
      <c r="X182" s="95">
        <f t="shared" si="38"/>
        <v>22565503.867822226</v>
      </c>
      <c r="Y182" s="95">
        <f t="shared" si="39"/>
        <v>22779623.261488523</v>
      </c>
      <c r="Z182" s="1"/>
      <c r="AA182" s="1"/>
      <c r="AB182" s="1"/>
      <c r="AC182" s="1"/>
      <c r="AD182" s="1"/>
      <c r="AE182" s="1"/>
      <c r="AF182" s="1"/>
      <c r="AG182" s="1"/>
      <c r="AH182" s="1"/>
    </row>
    <row r="183" spans="8:34" x14ac:dyDescent="0.35"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>
        <f t="shared" si="35"/>
        <v>128</v>
      </c>
      <c r="V183" s="95">
        <f t="shared" si="36"/>
        <v>22779623.261488523</v>
      </c>
      <c r="W183" s="95">
        <f t="shared" si="37"/>
        <v>150000.001587501</v>
      </c>
      <c r="X183" s="95">
        <f t="shared" si="38"/>
        <v>22629623.259901021</v>
      </c>
      <c r="Y183" s="95">
        <f t="shared" si="39"/>
        <v>22844351.069201846</v>
      </c>
      <c r="Z183" s="1"/>
      <c r="AA183" s="1"/>
      <c r="AB183" s="1"/>
      <c r="AC183" s="1"/>
      <c r="AD183" s="1"/>
      <c r="AE183" s="1"/>
      <c r="AF183" s="1"/>
      <c r="AG183" s="1"/>
      <c r="AH183" s="1"/>
    </row>
    <row r="184" spans="8:34" x14ac:dyDescent="0.35"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>
        <f t="shared" si="35"/>
        <v>129</v>
      </c>
      <c r="V184" s="95">
        <f t="shared" si="36"/>
        <v>22844351.069201846</v>
      </c>
      <c r="W184" s="95">
        <f t="shared" si="37"/>
        <v>150000.00160000101</v>
      </c>
      <c r="X184" s="95">
        <f t="shared" si="38"/>
        <v>22694351.067601845</v>
      </c>
      <c r="Y184" s="95">
        <f t="shared" si="39"/>
        <v>22909693.065667052</v>
      </c>
      <c r="Z184" s="1"/>
      <c r="AA184" s="1"/>
      <c r="AB184" s="1"/>
      <c r="AC184" s="1"/>
      <c r="AD184" s="1"/>
      <c r="AE184" s="1"/>
      <c r="AF184" s="1"/>
      <c r="AG184" s="1"/>
      <c r="AH184" s="1"/>
    </row>
    <row r="185" spans="8:34" x14ac:dyDescent="0.35"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>
        <f t="shared" si="35"/>
        <v>130</v>
      </c>
      <c r="V185" s="95">
        <f t="shared" si="36"/>
        <v>22909693.065667052</v>
      </c>
      <c r="W185" s="95">
        <f t="shared" si="37"/>
        <v>150000.00161250102</v>
      </c>
      <c r="X185" s="95">
        <f t="shared" si="38"/>
        <v>22759693.064054552</v>
      </c>
      <c r="Y185" s="95">
        <f t="shared" si="39"/>
        <v>22975655.078794032</v>
      </c>
      <c r="Z185" s="1"/>
      <c r="AA185" s="1"/>
      <c r="AB185" s="1"/>
      <c r="AC185" s="1"/>
      <c r="AD185" s="1"/>
      <c r="AE185" s="1"/>
      <c r="AF185" s="1"/>
      <c r="AG185" s="1"/>
      <c r="AH185" s="1"/>
    </row>
    <row r="186" spans="8:34" x14ac:dyDescent="0.35"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>
        <f t="shared" ref="U186:U249" si="40">U185+1</f>
        <v>131</v>
      </c>
      <c r="V186" s="95">
        <f t="shared" ref="V186:V249" si="41">Y185</f>
        <v>22975655.078794032</v>
      </c>
      <c r="W186" s="95">
        <f t="shared" ref="W186:W249" si="42">W185+W185*($F$15/12)</f>
        <v>150000.00162500102</v>
      </c>
      <c r="X186" s="95">
        <f t="shared" ref="X186:X249" si="43">V186-W186</f>
        <v>22825655.077169031</v>
      </c>
      <c r="Y186" s="95">
        <f t="shared" ref="Y186:Y249" si="44">X186+(X186*($K$9/12))</f>
        <v>23042242.991792504</v>
      </c>
      <c r="Z186" s="1"/>
      <c r="AA186" s="1"/>
      <c r="AB186" s="1"/>
      <c r="AC186" s="1"/>
      <c r="AD186" s="1"/>
      <c r="AE186" s="1"/>
      <c r="AF186" s="1"/>
      <c r="AG186" s="1"/>
      <c r="AH186" s="1"/>
    </row>
    <row r="187" spans="8:34" x14ac:dyDescent="0.35"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>
        <f t="shared" si="40"/>
        <v>132</v>
      </c>
      <c r="V187" s="95">
        <f t="shared" si="41"/>
        <v>23042242.991792504</v>
      </c>
      <c r="W187" s="95">
        <f t="shared" si="42"/>
        <v>150000.00163750103</v>
      </c>
      <c r="X187" s="95">
        <f t="shared" si="43"/>
        <v>22892242.990155004</v>
      </c>
      <c r="Y187" s="95">
        <f t="shared" si="44"/>
        <v>23109462.743696745</v>
      </c>
      <c r="Z187" s="1"/>
      <c r="AA187" s="1"/>
      <c r="AB187" s="1"/>
      <c r="AC187" s="1"/>
      <c r="AD187" s="1"/>
      <c r="AE187" s="1"/>
      <c r="AF187" s="1"/>
      <c r="AG187" s="1"/>
      <c r="AH187" s="1"/>
    </row>
    <row r="188" spans="8:34" x14ac:dyDescent="0.35"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>
        <f t="shared" si="40"/>
        <v>133</v>
      </c>
      <c r="V188" s="95">
        <f t="shared" si="41"/>
        <v>23109462.743696745</v>
      </c>
      <c r="W188" s="95">
        <f t="shared" si="42"/>
        <v>150000.00165000104</v>
      </c>
      <c r="X188" s="95">
        <f t="shared" si="43"/>
        <v>22959462.742046744</v>
      </c>
      <c r="Y188" s="95">
        <f t="shared" si="44"/>
        <v>23177320.329895299</v>
      </c>
      <c r="Z188" s="1"/>
      <c r="AA188" s="1"/>
      <c r="AB188" s="1"/>
      <c r="AC188" s="1"/>
      <c r="AD188" s="1"/>
      <c r="AE188" s="1"/>
      <c r="AF188" s="1"/>
      <c r="AG188" s="1"/>
      <c r="AH188" s="1"/>
    </row>
    <row r="189" spans="8:34" x14ac:dyDescent="0.35"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>
        <f t="shared" si="40"/>
        <v>134</v>
      </c>
      <c r="V189" s="95">
        <f t="shared" si="41"/>
        <v>23177320.329895299</v>
      </c>
      <c r="W189" s="95">
        <f t="shared" si="42"/>
        <v>150000.00166250105</v>
      </c>
      <c r="X189" s="95">
        <f t="shared" si="43"/>
        <v>23027320.328232799</v>
      </c>
      <c r="Y189" s="95">
        <f t="shared" si="44"/>
        <v>23245821.802665714</v>
      </c>
      <c r="Z189" s="1"/>
      <c r="AA189" s="1"/>
      <c r="AB189" s="1"/>
      <c r="AC189" s="1"/>
      <c r="AD189" s="1"/>
      <c r="AE189" s="1"/>
      <c r="AF189" s="1"/>
      <c r="AG189" s="1"/>
      <c r="AH189" s="1"/>
    </row>
    <row r="190" spans="8:34" x14ac:dyDescent="0.35"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>
        <f t="shared" si="40"/>
        <v>135</v>
      </c>
      <c r="V190" s="95">
        <f t="shared" si="41"/>
        <v>23245821.802665714</v>
      </c>
      <c r="W190" s="95">
        <f t="shared" si="42"/>
        <v>150000.00167500105</v>
      </c>
      <c r="X190" s="95">
        <f t="shared" si="43"/>
        <v>23095821.800990712</v>
      </c>
      <c r="Y190" s="95">
        <f t="shared" si="44"/>
        <v>23314973.271714341</v>
      </c>
      <c r="Z190" s="1"/>
      <c r="AA190" s="1"/>
      <c r="AB190" s="1"/>
      <c r="AC190" s="1"/>
      <c r="AD190" s="1"/>
      <c r="AE190" s="1"/>
      <c r="AF190" s="1"/>
      <c r="AG190" s="1"/>
      <c r="AH190" s="1"/>
    </row>
    <row r="191" spans="8:34" x14ac:dyDescent="0.35"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>
        <f t="shared" si="40"/>
        <v>136</v>
      </c>
      <c r="V191" s="95">
        <f t="shared" si="41"/>
        <v>23314973.271714341</v>
      </c>
      <c r="W191" s="95">
        <f t="shared" si="42"/>
        <v>150000.00168750106</v>
      </c>
      <c r="X191" s="95">
        <f t="shared" si="43"/>
        <v>23164973.27002684</v>
      </c>
      <c r="Y191" s="95">
        <f t="shared" si="44"/>
        <v>23384780.904721275</v>
      </c>
      <c r="Z191" s="1"/>
      <c r="AA191" s="1"/>
      <c r="AB191" s="1"/>
      <c r="AC191" s="1"/>
      <c r="AD191" s="1"/>
      <c r="AE191" s="1"/>
      <c r="AF191" s="1"/>
      <c r="AG191" s="1"/>
      <c r="AH191" s="1"/>
    </row>
    <row r="192" spans="8:34" x14ac:dyDescent="0.35"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>
        <f t="shared" si="40"/>
        <v>137</v>
      </c>
      <c r="V192" s="95">
        <f t="shared" si="41"/>
        <v>23384780.904721275</v>
      </c>
      <c r="W192" s="95">
        <f t="shared" si="42"/>
        <v>150000.00170000107</v>
      </c>
      <c r="X192" s="95">
        <f t="shared" si="43"/>
        <v>23234780.903021272</v>
      </c>
      <c r="Y192" s="95">
        <f t="shared" si="44"/>
        <v>23455250.927890446</v>
      </c>
      <c r="Z192" s="1"/>
      <c r="AA192" s="1"/>
      <c r="AB192" s="1"/>
      <c r="AC192" s="1"/>
      <c r="AD192" s="1"/>
      <c r="AE192" s="1"/>
      <c r="AF192" s="1"/>
      <c r="AG192" s="1"/>
      <c r="AH192" s="1"/>
    </row>
    <row r="193" spans="8:34" x14ac:dyDescent="0.35"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>
        <f t="shared" si="40"/>
        <v>138</v>
      </c>
      <c r="V193" s="95">
        <f t="shared" si="41"/>
        <v>23455250.927890446</v>
      </c>
      <c r="W193" s="95">
        <f t="shared" si="42"/>
        <v>150000.00171250108</v>
      </c>
      <c r="X193" s="95">
        <f t="shared" si="43"/>
        <v>23305250.926177945</v>
      </c>
      <c r="Y193" s="95">
        <f t="shared" si="44"/>
        <v>23526389.626504947</v>
      </c>
      <c r="Z193" s="1"/>
      <c r="AA193" s="1"/>
      <c r="AB193" s="1"/>
      <c r="AC193" s="1"/>
      <c r="AD193" s="1"/>
      <c r="AE193" s="1"/>
      <c r="AF193" s="1"/>
      <c r="AG193" s="1"/>
      <c r="AH193" s="1"/>
    </row>
    <row r="194" spans="8:34" x14ac:dyDescent="0.35"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>
        <f t="shared" si="40"/>
        <v>139</v>
      </c>
      <c r="V194" s="95">
        <f t="shared" si="41"/>
        <v>23526389.626504947</v>
      </c>
      <c r="W194" s="95">
        <f t="shared" si="42"/>
        <v>150000.00172500109</v>
      </c>
      <c r="X194" s="95">
        <f t="shared" si="43"/>
        <v>23376389.624779947</v>
      </c>
      <c r="Y194" s="95">
        <f t="shared" si="44"/>
        <v>23598203.345487621</v>
      </c>
      <c r="Z194" s="1"/>
      <c r="AA194" s="1"/>
      <c r="AB194" s="1"/>
      <c r="AC194" s="1"/>
      <c r="AD194" s="1"/>
      <c r="AE194" s="1"/>
      <c r="AF194" s="1"/>
      <c r="AG194" s="1"/>
      <c r="AH194" s="1"/>
    </row>
    <row r="195" spans="8:34" x14ac:dyDescent="0.35"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>
        <f t="shared" si="40"/>
        <v>140</v>
      </c>
      <c r="V195" s="95">
        <f t="shared" si="41"/>
        <v>23598203.345487621</v>
      </c>
      <c r="W195" s="95">
        <f t="shared" si="42"/>
        <v>150000.00173750109</v>
      </c>
      <c r="X195" s="95">
        <f t="shared" si="43"/>
        <v>23448203.343750119</v>
      </c>
      <c r="Y195" s="95">
        <f t="shared" si="44"/>
        <v>23670698.489966962</v>
      </c>
      <c r="Z195" s="1"/>
      <c r="AA195" s="1"/>
      <c r="AB195" s="1"/>
      <c r="AC195" s="1"/>
      <c r="AD195" s="1"/>
      <c r="AE195" s="1"/>
      <c r="AF195" s="1"/>
      <c r="AG195" s="1"/>
      <c r="AH195" s="1"/>
    </row>
    <row r="196" spans="8:34" x14ac:dyDescent="0.35"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>
        <f t="shared" si="40"/>
        <v>141</v>
      </c>
      <c r="V196" s="95">
        <f t="shared" si="41"/>
        <v>23670698.489966962</v>
      </c>
      <c r="W196" s="95">
        <f t="shared" si="42"/>
        <v>150000.0017500011</v>
      </c>
      <c r="X196" s="95">
        <f t="shared" si="43"/>
        <v>23520698.488216963</v>
      </c>
      <c r="Y196" s="95">
        <f t="shared" si="44"/>
        <v>23743881.525848415</v>
      </c>
      <c r="Z196" s="1"/>
      <c r="AA196" s="1"/>
      <c r="AB196" s="1"/>
      <c r="AC196" s="1"/>
      <c r="AD196" s="1"/>
      <c r="AE196" s="1"/>
      <c r="AF196" s="1"/>
      <c r="AG196" s="1"/>
      <c r="AH196" s="1"/>
    </row>
    <row r="197" spans="8:34" x14ac:dyDescent="0.35"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>
        <f t="shared" si="40"/>
        <v>142</v>
      </c>
      <c r="V197" s="95">
        <f t="shared" si="41"/>
        <v>23743881.525848415</v>
      </c>
      <c r="W197" s="95">
        <f t="shared" si="42"/>
        <v>150000.00176250111</v>
      </c>
      <c r="X197" s="95">
        <f t="shared" si="43"/>
        <v>23593881.524085913</v>
      </c>
      <c r="Y197" s="95">
        <f t="shared" si="44"/>
        <v>23817758.980391048</v>
      </c>
      <c r="Z197" s="1"/>
      <c r="AA197" s="1"/>
      <c r="AB197" s="1"/>
      <c r="AC197" s="1"/>
      <c r="AD197" s="1"/>
      <c r="AE197" s="1"/>
      <c r="AF197" s="1"/>
      <c r="AG197" s="1"/>
      <c r="AH197" s="1"/>
    </row>
    <row r="198" spans="8:34" x14ac:dyDescent="0.35"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>
        <f t="shared" si="40"/>
        <v>143</v>
      </c>
      <c r="V198" s="95">
        <f t="shared" si="41"/>
        <v>23817758.980391048</v>
      </c>
      <c r="W198" s="95">
        <f t="shared" si="42"/>
        <v>150000.00177500112</v>
      </c>
      <c r="X198" s="95">
        <f t="shared" si="43"/>
        <v>23667758.978616048</v>
      </c>
      <c r="Y198" s="95">
        <f t="shared" si="44"/>
        <v>23892337.442789756</v>
      </c>
      <c r="Z198" s="1"/>
      <c r="AA198" s="1"/>
      <c r="AB198" s="1"/>
      <c r="AC198" s="1"/>
      <c r="AD198" s="1"/>
      <c r="AE198" s="1"/>
      <c r="AF198" s="1"/>
      <c r="AG198" s="1"/>
      <c r="AH198" s="1"/>
    </row>
    <row r="199" spans="8:34" x14ac:dyDescent="0.35"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>
        <f t="shared" si="40"/>
        <v>144</v>
      </c>
      <c r="V199" s="95">
        <f t="shared" si="41"/>
        <v>23892337.442789756</v>
      </c>
      <c r="W199" s="95">
        <f t="shared" si="42"/>
        <v>150000.00178750113</v>
      </c>
      <c r="X199" s="95">
        <f t="shared" si="43"/>
        <v>23742337.441002253</v>
      </c>
      <c r="Y199" s="95">
        <f t="shared" si="44"/>
        <v>23967623.564762924</v>
      </c>
      <c r="Z199" s="1"/>
      <c r="AA199" s="1"/>
      <c r="AB199" s="1"/>
      <c r="AC199" s="1"/>
      <c r="AD199" s="1"/>
      <c r="AE199" s="1"/>
      <c r="AF199" s="1"/>
      <c r="AG199" s="1"/>
      <c r="AH199" s="1"/>
    </row>
    <row r="200" spans="8:34" x14ac:dyDescent="0.35"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>
        <f t="shared" si="40"/>
        <v>145</v>
      </c>
      <c r="V200" s="95">
        <f t="shared" si="41"/>
        <v>23967623.564762924</v>
      </c>
      <c r="W200" s="95">
        <f t="shared" si="42"/>
        <v>150000.00180000113</v>
      </c>
      <c r="X200" s="95">
        <f t="shared" si="43"/>
        <v>23817623.562962923</v>
      </c>
      <c r="Y200" s="95">
        <f t="shared" si="44"/>
        <v>24043624.061145723</v>
      </c>
      <c r="Z200" s="1"/>
      <c r="AA200" s="1"/>
      <c r="AB200" s="1"/>
      <c r="AC200" s="1"/>
      <c r="AD200" s="1"/>
      <c r="AE200" s="1"/>
      <c r="AF200" s="1"/>
      <c r="AG200" s="1"/>
      <c r="AH200" s="1"/>
    </row>
    <row r="201" spans="8:34" x14ac:dyDescent="0.35"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>
        <f t="shared" si="40"/>
        <v>146</v>
      </c>
      <c r="V201" s="95">
        <f t="shared" si="41"/>
        <v>24043624.061145723</v>
      </c>
      <c r="W201" s="95">
        <f t="shared" si="42"/>
        <v>150000.00181250114</v>
      </c>
      <c r="X201" s="95">
        <f t="shared" si="43"/>
        <v>23893624.05933322</v>
      </c>
      <c r="Y201" s="95">
        <f t="shared" si="44"/>
        <v>24120345.710489005</v>
      </c>
      <c r="Z201" s="1"/>
      <c r="AA201" s="1"/>
      <c r="AB201" s="1"/>
      <c r="AC201" s="1"/>
      <c r="AD201" s="1"/>
      <c r="AE201" s="1"/>
      <c r="AF201" s="1"/>
      <c r="AG201" s="1"/>
      <c r="AH201" s="1"/>
    </row>
    <row r="202" spans="8:34" x14ac:dyDescent="0.35"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>
        <f t="shared" si="40"/>
        <v>147</v>
      </c>
      <c r="V202" s="95">
        <f t="shared" si="41"/>
        <v>24120345.710489005</v>
      </c>
      <c r="W202" s="95">
        <f t="shared" si="42"/>
        <v>150000.00182500115</v>
      </c>
      <c r="X202" s="95">
        <f t="shared" si="43"/>
        <v>23970345.708664004</v>
      </c>
      <c r="Y202" s="95">
        <f t="shared" si="44"/>
        <v>24197795.355663888</v>
      </c>
      <c r="Z202" s="1"/>
      <c r="AA202" s="1"/>
      <c r="AB202" s="1"/>
      <c r="AC202" s="1"/>
      <c r="AD202" s="1"/>
      <c r="AE202" s="1"/>
      <c r="AF202" s="1"/>
      <c r="AG202" s="1"/>
      <c r="AH202" s="1"/>
    </row>
    <row r="203" spans="8:34" x14ac:dyDescent="0.35"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>
        <f t="shared" si="40"/>
        <v>148</v>
      </c>
      <c r="V203" s="95">
        <f t="shared" si="41"/>
        <v>24197795.355663888</v>
      </c>
      <c r="W203" s="95">
        <f t="shared" si="42"/>
        <v>150000.00183750116</v>
      </c>
      <c r="X203" s="95">
        <f t="shared" si="43"/>
        <v>24047795.353826389</v>
      </c>
      <c r="Y203" s="95">
        <f t="shared" si="44"/>
        <v>24275979.904472075</v>
      </c>
      <c r="Z203" s="1"/>
      <c r="AA203" s="1"/>
      <c r="AB203" s="1"/>
      <c r="AC203" s="1"/>
      <c r="AD203" s="1"/>
      <c r="AE203" s="1"/>
      <c r="AF203" s="1"/>
      <c r="AG203" s="1"/>
      <c r="AH203" s="1"/>
    </row>
    <row r="204" spans="8:34" x14ac:dyDescent="0.35"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>
        <f t="shared" si="40"/>
        <v>149</v>
      </c>
      <c r="V204" s="95">
        <f t="shared" si="41"/>
        <v>24275979.904472075</v>
      </c>
      <c r="W204" s="95">
        <f t="shared" si="42"/>
        <v>150000.00185000116</v>
      </c>
      <c r="X204" s="95">
        <f t="shared" si="43"/>
        <v>24125979.902622074</v>
      </c>
      <c r="Y204" s="95">
        <f t="shared" si="44"/>
        <v>24354906.330261968</v>
      </c>
      <c r="Z204" s="1"/>
      <c r="AA204" s="1"/>
      <c r="AB204" s="1"/>
      <c r="AC204" s="1"/>
      <c r="AD204" s="1"/>
      <c r="AE204" s="1"/>
      <c r="AF204" s="1"/>
      <c r="AG204" s="1"/>
      <c r="AH204" s="1"/>
    </row>
    <row r="205" spans="8:34" x14ac:dyDescent="0.35"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>
        <f t="shared" si="40"/>
        <v>150</v>
      </c>
      <c r="V205" s="95">
        <f t="shared" si="41"/>
        <v>24354906.330261968</v>
      </c>
      <c r="W205" s="95">
        <f t="shared" si="42"/>
        <v>150000.00186250117</v>
      </c>
      <c r="X205" s="95">
        <f t="shared" si="43"/>
        <v>24204906.328399468</v>
      </c>
      <c r="Y205" s="95">
        <f t="shared" si="44"/>
        <v>24434581.67255063</v>
      </c>
      <c r="Z205" s="1"/>
      <c r="AA205" s="1"/>
      <c r="AB205" s="1"/>
      <c r="AC205" s="1"/>
      <c r="AD205" s="1"/>
      <c r="AE205" s="1"/>
      <c r="AF205" s="1"/>
      <c r="AG205" s="1"/>
      <c r="AH205" s="1"/>
    </row>
    <row r="206" spans="8:34" x14ac:dyDescent="0.35"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>
        <f t="shared" si="40"/>
        <v>151</v>
      </c>
      <c r="V206" s="95">
        <f t="shared" si="41"/>
        <v>24434581.67255063</v>
      </c>
      <c r="W206" s="95">
        <f t="shared" si="42"/>
        <v>150000.00187500118</v>
      </c>
      <c r="X206" s="95">
        <f t="shared" si="43"/>
        <v>24284581.670675628</v>
      </c>
      <c r="Y206" s="95">
        <f t="shared" si="44"/>
        <v>24515013.037651639</v>
      </c>
      <c r="Z206" s="1"/>
      <c r="AA206" s="1"/>
      <c r="AB206" s="1"/>
      <c r="AC206" s="1"/>
      <c r="AD206" s="1"/>
      <c r="AE206" s="1"/>
      <c r="AF206" s="1"/>
      <c r="AG206" s="1"/>
      <c r="AH206" s="1"/>
    </row>
    <row r="207" spans="8:34" x14ac:dyDescent="0.35"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>
        <f t="shared" si="40"/>
        <v>152</v>
      </c>
      <c r="V207" s="95">
        <f t="shared" si="41"/>
        <v>24515013.037651639</v>
      </c>
      <c r="W207" s="95">
        <f t="shared" si="42"/>
        <v>150000.00188750119</v>
      </c>
      <c r="X207" s="95">
        <f t="shared" si="43"/>
        <v>24365013.035764139</v>
      </c>
      <c r="Y207" s="95">
        <f t="shared" si="44"/>
        <v>24596207.599308923</v>
      </c>
      <c r="Z207" s="1"/>
      <c r="AA207" s="1"/>
      <c r="AB207" s="1"/>
      <c r="AC207" s="1"/>
      <c r="AD207" s="1"/>
      <c r="AE207" s="1"/>
      <c r="AF207" s="1"/>
      <c r="AG207" s="1"/>
      <c r="AH207" s="1"/>
    </row>
    <row r="208" spans="8:34" x14ac:dyDescent="0.35"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>
        <f t="shared" si="40"/>
        <v>153</v>
      </c>
      <c r="V208" s="95">
        <f t="shared" si="41"/>
        <v>24596207.599308923</v>
      </c>
      <c r="W208" s="95">
        <f t="shared" si="42"/>
        <v>150000.0019000012</v>
      </c>
      <c r="X208" s="95">
        <f t="shared" si="43"/>
        <v>24446207.597408921</v>
      </c>
      <c r="Y208" s="95">
        <f t="shared" si="44"/>
        <v>24678172.599336565</v>
      </c>
      <c r="Z208" s="1"/>
      <c r="AA208" s="1"/>
      <c r="AB208" s="1"/>
      <c r="AC208" s="1"/>
      <c r="AD208" s="1"/>
      <c r="AE208" s="1"/>
      <c r="AF208" s="1"/>
      <c r="AG208" s="1"/>
      <c r="AH208" s="1"/>
    </row>
    <row r="209" spans="8:34" x14ac:dyDescent="0.35"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>
        <f t="shared" si="40"/>
        <v>154</v>
      </c>
      <c r="V209" s="95">
        <f t="shared" si="41"/>
        <v>24678172.599336565</v>
      </c>
      <c r="W209" s="95">
        <f t="shared" si="42"/>
        <v>150000.0019125012</v>
      </c>
      <c r="X209" s="95">
        <f t="shared" si="43"/>
        <v>24528172.597424064</v>
      </c>
      <c r="Y209" s="95">
        <f t="shared" si="44"/>
        <v>24760915.348264735</v>
      </c>
      <c r="Z209" s="1"/>
      <c r="AA209" s="1"/>
      <c r="AB209" s="1"/>
      <c r="AC209" s="1"/>
      <c r="AD209" s="1"/>
      <c r="AE209" s="1"/>
      <c r="AF209" s="1"/>
      <c r="AG209" s="1"/>
      <c r="AH209" s="1"/>
    </row>
    <row r="210" spans="8:34" x14ac:dyDescent="0.35"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>
        <f t="shared" si="40"/>
        <v>155</v>
      </c>
      <c r="V210" s="95">
        <f t="shared" si="41"/>
        <v>24760915.348264735</v>
      </c>
      <c r="W210" s="95">
        <f t="shared" si="42"/>
        <v>150000.00192500121</v>
      </c>
      <c r="X210" s="95">
        <f t="shared" si="43"/>
        <v>24610915.346339732</v>
      </c>
      <c r="Y210" s="95">
        <f t="shared" si="44"/>
        <v>24844443.225991704</v>
      </c>
      <c r="Z210" s="1"/>
      <c r="AA210" s="1"/>
      <c r="AB210" s="1"/>
      <c r="AC210" s="1"/>
      <c r="AD210" s="1"/>
      <c r="AE210" s="1"/>
      <c r="AF210" s="1"/>
      <c r="AG210" s="1"/>
      <c r="AH210" s="1"/>
    </row>
    <row r="211" spans="8:34" x14ac:dyDescent="0.35"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>
        <f t="shared" si="40"/>
        <v>156</v>
      </c>
      <c r="V211" s="95">
        <f t="shared" si="41"/>
        <v>24844443.225991704</v>
      </c>
      <c r="W211" s="95">
        <f t="shared" si="42"/>
        <v>150000.00193750122</v>
      </c>
      <c r="X211" s="95">
        <f t="shared" si="43"/>
        <v>24694443.224054202</v>
      </c>
      <c r="Y211" s="95">
        <f t="shared" si="44"/>
        <v>24928763.682442069</v>
      </c>
      <c r="Z211" s="1"/>
      <c r="AA211" s="1"/>
      <c r="AB211" s="1"/>
      <c r="AC211" s="1"/>
      <c r="AD211" s="1"/>
      <c r="AE211" s="1"/>
      <c r="AF211" s="1"/>
      <c r="AG211" s="1"/>
      <c r="AH211" s="1"/>
    </row>
    <row r="212" spans="8:34" x14ac:dyDescent="0.35"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>
        <f t="shared" si="40"/>
        <v>157</v>
      </c>
      <c r="V212" s="95">
        <f t="shared" si="41"/>
        <v>24928763.682442069</v>
      </c>
      <c r="W212" s="95">
        <f t="shared" si="42"/>
        <v>150000.00195000123</v>
      </c>
      <c r="X212" s="95">
        <f t="shared" si="43"/>
        <v>24778763.68049207</v>
      </c>
      <c r="Y212" s="95">
        <f t="shared" si="44"/>
        <v>25013884.238231227</v>
      </c>
      <c r="Z212" s="1"/>
      <c r="AA212" s="1"/>
      <c r="AB212" s="1"/>
      <c r="AC212" s="1"/>
      <c r="AD212" s="1"/>
      <c r="AE212" s="1"/>
      <c r="AF212" s="1"/>
      <c r="AG212" s="1"/>
      <c r="AH212" s="1"/>
    </row>
    <row r="213" spans="8:34" x14ac:dyDescent="0.35"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>
        <f t="shared" si="40"/>
        <v>158</v>
      </c>
      <c r="V213" s="95">
        <f t="shared" si="41"/>
        <v>25013884.238231227</v>
      </c>
      <c r="W213" s="95">
        <f t="shared" si="42"/>
        <v>150000.00196250124</v>
      </c>
      <c r="X213" s="95">
        <f t="shared" si="43"/>
        <v>24863884.236268725</v>
      </c>
      <c r="Y213" s="95">
        <f t="shared" si="44"/>
        <v>25099812.485336121</v>
      </c>
      <c r="Z213" s="1"/>
      <c r="AA213" s="1"/>
      <c r="AB213" s="1"/>
      <c r="AC213" s="1"/>
      <c r="AD213" s="1"/>
      <c r="AE213" s="1"/>
      <c r="AF213" s="1"/>
      <c r="AG213" s="1"/>
      <c r="AH213" s="1"/>
    </row>
    <row r="214" spans="8:34" x14ac:dyDescent="0.35"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>
        <f t="shared" si="40"/>
        <v>159</v>
      </c>
      <c r="V214" s="95">
        <f t="shared" si="41"/>
        <v>25099812.485336121</v>
      </c>
      <c r="W214" s="95">
        <f t="shared" si="42"/>
        <v>150000.00197500124</v>
      </c>
      <c r="X214" s="95">
        <f t="shared" si="43"/>
        <v>24949812.483361121</v>
      </c>
      <c r="Y214" s="95">
        <f t="shared" si="44"/>
        <v>25186556.08777241</v>
      </c>
      <c r="Z214" s="1"/>
      <c r="AA214" s="1"/>
      <c r="AB214" s="1"/>
      <c r="AC214" s="1"/>
      <c r="AD214" s="1"/>
      <c r="AE214" s="1"/>
      <c r="AF214" s="1"/>
      <c r="AG214" s="1"/>
      <c r="AH214" s="1"/>
    </row>
    <row r="215" spans="8:34" x14ac:dyDescent="0.35"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11"/>
      <c r="T215" s="111"/>
      <c r="U215" s="111">
        <f t="shared" si="40"/>
        <v>160</v>
      </c>
      <c r="V215" s="100">
        <f t="shared" si="41"/>
        <v>25186556.08777241</v>
      </c>
      <c r="W215" s="100">
        <f t="shared" si="42"/>
        <v>150000.00198750125</v>
      </c>
      <c r="X215" s="100">
        <f t="shared" si="43"/>
        <v>25036556.085784908</v>
      </c>
      <c r="Y215" s="100">
        <f t="shared" si="44"/>
        <v>25274122.782277998</v>
      </c>
      <c r="Z215" s="1"/>
      <c r="AA215" s="1"/>
      <c r="AB215" s="1"/>
      <c r="AC215" s="1"/>
      <c r="AD215" s="1"/>
      <c r="AE215" s="1"/>
      <c r="AF215" s="1"/>
      <c r="AG215" s="1"/>
      <c r="AH215" s="1"/>
    </row>
    <row r="216" spans="8:34" x14ac:dyDescent="0.35"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11"/>
      <c r="T216" s="111"/>
      <c r="U216" s="111">
        <f t="shared" si="40"/>
        <v>161</v>
      </c>
      <c r="V216" s="100">
        <f t="shared" si="41"/>
        <v>25274122.782277998</v>
      </c>
      <c r="W216" s="100">
        <f t="shared" si="42"/>
        <v>150000.00200000126</v>
      </c>
      <c r="X216" s="100">
        <f t="shared" si="43"/>
        <v>25124122.780277997</v>
      </c>
      <c r="Y216" s="100">
        <f t="shared" si="44"/>
        <v>25362520.379003096</v>
      </c>
      <c r="Z216" s="1"/>
      <c r="AA216" s="1"/>
      <c r="AB216" s="1"/>
      <c r="AC216" s="1"/>
      <c r="AD216" s="1"/>
      <c r="AE216" s="1"/>
      <c r="AF216" s="1"/>
      <c r="AG216" s="1"/>
      <c r="AH216" s="1"/>
    </row>
    <row r="217" spans="8:34" x14ac:dyDescent="0.35"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11"/>
      <c r="T217" s="111"/>
      <c r="U217" s="111">
        <f t="shared" si="40"/>
        <v>162</v>
      </c>
      <c r="V217" s="100">
        <f t="shared" si="41"/>
        <v>25362520.379003096</v>
      </c>
      <c r="W217" s="100">
        <f t="shared" si="42"/>
        <v>150000.00201250127</v>
      </c>
      <c r="X217" s="100">
        <f t="shared" si="43"/>
        <v>25212520.376990594</v>
      </c>
      <c r="Y217" s="100">
        <f t="shared" si="44"/>
        <v>25451756.762206815</v>
      </c>
      <c r="Z217" s="1"/>
      <c r="AA217" s="1"/>
      <c r="AB217" s="1"/>
      <c r="AC217" s="1"/>
      <c r="AD217" s="1"/>
      <c r="AE217" s="1"/>
      <c r="AF217" s="1"/>
      <c r="AG217" s="1"/>
      <c r="AH217" s="1"/>
    </row>
    <row r="218" spans="8:34" x14ac:dyDescent="0.35"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11"/>
      <c r="T218" s="111"/>
      <c r="U218" s="111">
        <f t="shared" si="40"/>
        <v>163</v>
      </c>
      <c r="V218" s="100">
        <f t="shared" si="41"/>
        <v>25451756.762206815</v>
      </c>
      <c r="W218" s="100">
        <f t="shared" si="42"/>
        <v>150000.00202500127</v>
      </c>
      <c r="X218" s="100">
        <f t="shared" si="43"/>
        <v>25301756.760181814</v>
      </c>
      <c r="Y218" s="100">
        <f t="shared" si="44"/>
        <v>25541839.890960366</v>
      </c>
      <c r="Z218" s="1"/>
      <c r="AA218" s="1"/>
      <c r="AB218" s="1"/>
      <c r="AC218" s="1"/>
      <c r="AD218" s="1"/>
      <c r="AE218" s="1"/>
      <c r="AF218" s="1"/>
      <c r="AG218" s="1"/>
      <c r="AH218" s="1"/>
    </row>
    <row r="219" spans="8:34" x14ac:dyDescent="0.35"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11"/>
      <c r="T219" s="111"/>
      <c r="U219" s="111">
        <f t="shared" si="40"/>
        <v>164</v>
      </c>
      <c r="V219" s="100">
        <f t="shared" si="41"/>
        <v>25541839.890960366</v>
      </c>
      <c r="W219" s="100">
        <f t="shared" si="42"/>
        <v>150000.00203750128</v>
      </c>
      <c r="X219" s="100">
        <f t="shared" si="43"/>
        <v>25391839.888922863</v>
      </c>
      <c r="Y219" s="100">
        <f t="shared" si="44"/>
        <v>25632777.799856938</v>
      </c>
      <c r="Z219" s="1"/>
      <c r="AA219" s="1"/>
      <c r="AB219" s="1"/>
      <c r="AC219" s="1"/>
      <c r="AD219" s="1"/>
      <c r="AE219" s="1"/>
      <c r="AF219" s="1"/>
      <c r="AG219" s="1"/>
      <c r="AH219" s="1"/>
    </row>
    <row r="220" spans="8:34" x14ac:dyDescent="0.35"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>
        <f t="shared" si="40"/>
        <v>165</v>
      </c>
      <c r="V220" s="95">
        <f t="shared" si="41"/>
        <v>25632777.799856938</v>
      </c>
      <c r="W220" s="95">
        <f t="shared" si="42"/>
        <v>150000.00205000129</v>
      </c>
      <c r="X220" s="95">
        <f t="shared" si="43"/>
        <v>25482777.797806937</v>
      </c>
      <c r="Y220" s="95">
        <f t="shared" si="44"/>
        <v>25724578.599728316</v>
      </c>
      <c r="Z220" s="1"/>
      <c r="AA220" s="1"/>
      <c r="AB220" s="1"/>
      <c r="AC220" s="1"/>
      <c r="AD220" s="1"/>
      <c r="AE220" s="1"/>
      <c r="AF220" s="1"/>
      <c r="AG220" s="1"/>
      <c r="AH220" s="1"/>
    </row>
    <row r="221" spans="8:34" x14ac:dyDescent="0.35"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>
        <f t="shared" si="40"/>
        <v>166</v>
      </c>
      <c r="V221" s="95">
        <f t="shared" si="41"/>
        <v>25724578.599728316</v>
      </c>
      <c r="W221" s="95">
        <f t="shared" si="42"/>
        <v>150000.0020625013</v>
      </c>
      <c r="X221" s="95">
        <f t="shared" si="43"/>
        <v>25574578.597665817</v>
      </c>
      <c r="Y221" s="95">
        <f t="shared" si="44"/>
        <v>25817250.478368286</v>
      </c>
      <c r="Z221" s="1"/>
      <c r="AA221" s="1"/>
      <c r="AB221" s="1"/>
      <c r="AC221" s="1"/>
      <c r="AD221" s="1"/>
      <c r="AE221" s="1"/>
      <c r="AF221" s="1"/>
      <c r="AG221" s="1"/>
      <c r="AH221" s="1"/>
    </row>
    <row r="222" spans="8:34" x14ac:dyDescent="0.35"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>
        <f t="shared" si="40"/>
        <v>167</v>
      </c>
      <c r="V222" s="95">
        <f t="shared" si="41"/>
        <v>25817250.478368286</v>
      </c>
      <c r="W222" s="95">
        <f t="shared" si="42"/>
        <v>150000.00207500131</v>
      </c>
      <c r="X222" s="95">
        <f t="shared" si="43"/>
        <v>25667250.476293284</v>
      </c>
      <c r="Y222" s="95">
        <f t="shared" si="44"/>
        <v>25910801.70126291</v>
      </c>
      <c r="Z222" s="1"/>
      <c r="AA222" s="1"/>
      <c r="AB222" s="1"/>
      <c r="AC222" s="1"/>
      <c r="AD222" s="1"/>
      <c r="AE222" s="1"/>
      <c r="AF222" s="1"/>
      <c r="AG222" s="1"/>
      <c r="AH222" s="1"/>
    </row>
    <row r="223" spans="8:34" x14ac:dyDescent="0.35"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>
        <f t="shared" si="40"/>
        <v>168</v>
      </c>
      <c r="V223" s="95">
        <f t="shared" si="41"/>
        <v>25910801.70126291</v>
      </c>
      <c r="W223" s="95">
        <f t="shared" si="42"/>
        <v>150000.00208750131</v>
      </c>
      <c r="X223" s="95">
        <f t="shared" si="43"/>
        <v>25760801.69917541</v>
      </c>
      <c r="Y223" s="95">
        <f t="shared" si="44"/>
        <v>26005240.61232774</v>
      </c>
      <c r="Z223" s="1"/>
      <c r="AA223" s="1"/>
      <c r="AB223" s="1"/>
      <c r="AC223" s="1"/>
      <c r="AD223" s="1"/>
      <c r="AE223" s="1"/>
      <c r="AF223" s="1"/>
      <c r="AG223" s="1"/>
      <c r="AH223" s="1"/>
    </row>
    <row r="224" spans="8:34" x14ac:dyDescent="0.35"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>
        <f t="shared" si="40"/>
        <v>169</v>
      </c>
      <c r="V224" s="95">
        <f t="shared" si="41"/>
        <v>26005240.61232774</v>
      </c>
      <c r="W224" s="95">
        <f t="shared" si="42"/>
        <v>150000.00210000132</v>
      </c>
      <c r="X224" s="95">
        <f t="shared" si="43"/>
        <v>25855240.610227738</v>
      </c>
      <c r="Y224" s="95">
        <f t="shared" si="44"/>
        <v>26100575.634652011</v>
      </c>
      <c r="Z224" s="1"/>
      <c r="AA224" s="1"/>
      <c r="AB224" s="1"/>
      <c r="AC224" s="1"/>
      <c r="AD224" s="1"/>
      <c r="AE224" s="1"/>
      <c r="AF224" s="1"/>
      <c r="AG224" s="1"/>
      <c r="AH224" s="1"/>
    </row>
    <row r="225" spans="8:34" x14ac:dyDescent="0.35"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>
        <f t="shared" si="40"/>
        <v>170</v>
      </c>
      <c r="V225" s="95">
        <f t="shared" si="41"/>
        <v>26100575.634652011</v>
      </c>
      <c r="W225" s="95">
        <f t="shared" si="42"/>
        <v>150000.00211250133</v>
      </c>
      <c r="X225" s="95">
        <f t="shared" si="43"/>
        <v>25950575.632539511</v>
      </c>
      <c r="Y225" s="95">
        <f t="shared" si="44"/>
        <v>26196815.271249916</v>
      </c>
      <c r="Z225" s="1"/>
      <c r="AA225" s="1"/>
      <c r="AB225" s="1"/>
      <c r="AC225" s="1"/>
      <c r="AD225" s="1"/>
      <c r="AE225" s="1"/>
      <c r="AF225" s="1"/>
      <c r="AG225" s="1"/>
      <c r="AH225" s="1"/>
    </row>
    <row r="226" spans="8:34" x14ac:dyDescent="0.35"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>
        <f t="shared" si="40"/>
        <v>171</v>
      </c>
      <c r="V226" s="95">
        <f t="shared" si="41"/>
        <v>26196815.271249916</v>
      </c>
      <c r="W226" s="95">
        <f t="shared" si="42"/>
        <v>150000.00212500134</v>
      </c>
      <c r="X226" s="95">
        <f t="shared" si="43"/>
        <v>26046815.269124914</v>
      </c>
      <c r="Y226" s="95">
        <f t="shared" si="44"/>
        <v>26293968.105818976</v>
      </c>
      <c r="Z226" s="1"/>
      <c r="AA226" s="1"/>
      <c r="AB226" s="1"/>
      <c r="AC226" s="1"/>
      <c r="AD226" s="1"/>
      <c r="AE226" s="1"/>
      <c r="AF226" s="1"/>
      <c r="AG226" s="1"/>
      <c r="AH226" s="1"/>
    </row>
    <row r="227" spans="8:34" x14ac:dyDescent="0.35"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>
        <f t="shared" si="40"/>
        <v>172</v>
      </c>
      <c r="V227" s="95">
        <f t="shared" si="41"/>
        <v>26293968.105818976</v>
      </c>
      <c r="W227" s="95">
        <f t="shared" si="42"/>
        <v>150000.00213750135</v>
      </c>
      <c r="X227" s="95">
        <f t="shared" si="43"/>
        <v>26143968.103681475</v>
      </c>
      <c r="Y227" s="95">
        <f t="shared" si="44"/>
        <v>26392042.803505652</v>
      </c>
      <c r="Z227" s="1"/>
      <c r="AA227" s="1"/>
      <c r="AB227" s="1"/>
      <c r="AC227" s="1"/>
      <c r="AD227" s="1"/>
      <c r="AE227" s="1"/>
      <c r="AF227" s="1"/>
      <c r="AG227" s="1"/>
      <c r="AH227" s="1"/>
    </row>
    <row r="228" spans="8:34" x14ac:dyDescent="0.35"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>
        <f t="shared" si="40"/>
        <v>173</v>
      </c>
      <c r="V228" s="95">
        <f t="shared" si="41"/>
        <v>26392042.803505652</v>
      </c>
      <c r="W228" s="95">
        <f t="shared" si="42"/>
        <v>150000.00215000135</v>
      </c>
      <c r="X228" s="95">
        <f t="shared" si="43"/>
        <v>26242042.801355649</v>
      </c>
      <c r="Y228" s="95">
        <f t="shared" si="44"/>
        <v>26491048.111678179</v>
      </c>
      <c r="Z228" s="1"/>
      <c r="AA228" s="1"/>
      <c r="AB228" s="1"/>
      <c r="AC228" s="1"/>
      <c r="AD228" s="1"/>
      <c r="AE228" s="1"/>
      <c r="AF228" s="1"/>
      <c r="AG228" s="1"/>
      <c r="AH228" s="1"/>
    </row>
    <row r="229" spans="8:34" x14ac:dyDescent="0.35"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>
        <f t="shared" si="40"/>
        <v>174</v>
      </c>
      <c r="V229" s="95">
        <f t="shared" si="41"/>
        <v>26491048.111678179</v>
      </c>
      <c r="W229" s="95">
        <f t="shared" si="42"/>
        <v>150000.00216250136</v>
      </c>
      <c r="X229" s="95">
        <f t="shared" si="43"/>
        <v>26341048.109515678</v>
      </c>
      <c r="Y229" s="95">
        <f t="shared" si="44"/>
        <v>26590992.860706761</v>
      </c>
      <c r="Z229" s="1"/>
      <c r="AA229" s="1"/>
      <c r="AB229" s="1"/>
      <c r="AC229" s="1"/>
      <c r="AD229" s="1"/>
      <c r="AE229" s="1"/>
      <c r="AF229" s="1"/>
      <c r="AG229" s="1"/>
      <c r="AH229" s="1"/>
    </row>
    <row r="230" spans="8:34" x14ac:dyDescent="0.35"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>
        <f t="shared" si="40"/>
        <v>175</v>
      </c>
      <c r="V230" s="95">
        <f t="shared" si="41"/>
        <v>26590992.860706761</v>
      </c>
      <c r="W230" s="95">
        <f t="shared" si="42"/>
        <v>150000.00217500137</v>
      </c>
      <c r="X230" s="95">
        <f t="shared" si="43"/>
        <v>26440992.858531762</v>
      </c>
      <c r="Y230" s="95">
        <f t="shared" si="44"/>
        <v>26691885.964751158</v>
      </c>
      <c r="Z230" s="1"/>
      <c r="AA230" s="1"/>
      <c r="AB230" s="1"/>
      <c r="AC230" s="1"/>
      <c r="AD230" s="1"/>
      <c r="AE230" s="1"/>
      <c r="AF230" s="1"/>
      <c r="AG230" s="1"/>
      <c r="AH230" s="1"/>
    </row>
    <row r="231" spans="8:34" x14ac:dyDescent="0.35"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>
        <f t="shared" si="40"/>
        <v>176</v>
      </c>
      <c r="V231" s="95">
        <f t="shared" si="41"/>
        <v>26691885.964751158</v>
      </c>
      <c r="W231" s="95">
        <f t="shared" si="42"/>
        <v>150000.00218750138</v>
      </c>
      <c r="X231" s="95">
        <f t="shared" si="43"/>
        <v>26541885.962563656</v>
      </c>
      <c r="Y231" s="95">
        <f t="shared" si="44"/>
        <v>26793736.422555741</v>
      </c>
      <c r="Z231" s="1"/>
      <c r="AA231" s="1"/>
      <c r="AB231" s="1"/>
      <c r="AC231" s="1"/>
      <c r="AD231" s="1"/>
      <c r="AE231" s="1"/>
      <c r="AF231" s="1"/>
      <c r="AG231" s="1"/>
      <c r="AH231" s="1"/>
    </row>
    <row r="232" spans="8:34" x14ac:dyDescent="0.35"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>
        <f t="shared" si="40"/>
        <v>177</v>
      </c>
      <c r="V232" s="95">
        <f t="shared" si="41"/>
        <v>26793736.422555741</v>
      </c>
      <c r="W232" s="95">
        <f t="shared" si="42"/>
        <v>150000.00220000139</v>
      </c>
      <c r="X232" s="95">
        <f t="shared" si="43"/>
        <v>26643736.420355741</v>
      </c>
      <c r="Y232" s="95">
        <f t="shared" si="44"/>
        <v>26896553.318252105</v>
      </c>
      <c r="Z232" s="1"/>
      <c r="AA232" s="1"/>
      <c r="AB232" s="1"/>
      <c r="AC232" s="1"/>
      <c r="AD232" s="1"/>
      <c r="AE232" s="1"/>
      <c r="AF232" s="1"/>
      <c r="AG232" s="1"/>
      <c r="AH232" s="1"/>
    </row>
    <row r="233" spans="8:34" x14ac:dyDescent="0.35"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>
        <f t="shared" si="40"/>
        <v>178</v>
      </c>
      <c r="V233" s="95">
        <f t="shared" si="41"/>
        <v>26896553.318252105</v>
      </c>
      <c r="W233" s="95">
        <f t="shared" si="42"/>
        <v>150000.00221250139</v>
      </c>
      <c r="X233" s="95">
        <f t="shared" si="43"/>
        <v>26746553.316039603</v>
      </c>
      <c r="Y233" s="95">
        <f t="shared" si="44"/>
        <v>27000345.822169289</v>
      </c>
      <c r="Z233" s="1"/>
      <c r="AA233" s="1"/>
      <c r="AB233" s="1"/>
      <c r="AC233" s="1"/>
      <c r="AD233" s="1"/>
      <c r="AE233" s="1"/>
      <c r="AF233" s="1"/>
      <c r="AG233" s="1"/>
      <c r="AH233" s="1"/>
    </row>
    <row r="234" spans="8:34" x14ac:dyDescent="0.35"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>
        <f t="shared" si="40"/>
        <v>179</v>
      </c>
      <c r="V234" s="95">
        <f t="shared" si="41"/>
        <v>27000345.822169289</v>
      </c>
      <c r="W234" s="95">
        <f t="shared" si="42"/>
        <v>150000.0022250014</v>
      </c>
      <c r="X234" s="95">
        <f t="shared" si="43"/>
        <v>26850345.819944289</v>
      </c>
      <c r="Y234" s="95">
        <f t="shared" si="44"/>
        <v>27105123.191651687</v>
      </c>
      <c r="Z234" s="1"/>
      <c r="AA234" s="1"/>
      <c r="AB234" s="1"/>
      <c r="AC234" s="1"/>
      <c r="AD234" s="1"/>
      <c r="AE234" s="1"/>
      <c r="AF234" s="1"/>
      <c r="AG234" s="1"/>
      <c r="AH234" s="1"/>
    </row>
    <row r="235" spans="8:34" x14ac:dyDescent="0.35"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>
        <f t="shared" si="40"/>
        <v>180</v>
      </c>
      <c r="V235" s="95">
        <f t="shared" si="41"/>
        <v>27105123.191651687</v>
      </c>
      <c r="W235" s="95">
        <f t="shared" si="42"/>
        <v>150000.00223750141</v>
      </c>
      <c r="X235" s="95">
        <f t="shared" si="43"/>
        <v>26955123.189414185</v>
      </c>
      <c r="Y235" s="95">
        <f t="shared" si="44"/>
        <v>27210894.771884713</v>
      </c>
      <c r="Z235" s="1"/>
      <c r="AA235" s="1"/>
      <c r="AB235" s="1"/>
      <c r="AC235" s="1"/>
      <c r="AD235" s="1"/>
      <c r="AE235" s="1"/>
      <c r="AF235" s="1"/>
      <c r="AG235" s="1"/>
      <c r="AH235" s="1"/>
    </row>
    <row r="236" spans="8:34" x14ac:dyDescent="0.35"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>
        <f t="shared" si="40"/>
        <v>181</v>
      </c>
      <c r="V236" s="95">
        <f t="shared" si="41"/>
        <v>27210894.771884713</v>
      </c>
      <c r="W236" s="95">
        <f t="shared" si="42"/>
        <v>150000.00225000142</v>
      </c>
      <c r="X236" s="95">
        <f t="shared" si="43"/>
        <v>27060894.769634712</v>
      </c>
      <c r="Y236" s="95">
        <f t="shared" si="44"/>
        <v>27317669.996728316</v>
      </c>
      <c r="Z236" s="1"/>
      <c r="AA236" s="1"/>
      <c r="AB236" s="1"/>
      <c r="AC236" s="1"/>
      <c r="AD236" s="1"/>
      <c r="AE236" s="1"/>
      <c r="AF236" s="1"/>
      <c r="AG236" s="1"/>
      <c r="AH236" s="1"/>
    </row>
    <row r="237" spans="8:34" x14ac:dyDescent="0.35"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>
        <f t="shared" si="40"/>
        <v>182</v>
      </c>
      <c r="V237" s="95">
        <f t="shared" si="41"/>
        <v>27317669.996728316</v>
      </c>
      <c r="W237" s="95">
        <f t="shared" si="42"/>
        <v>150000.00226250142</v>
      </c>
      <c r="X237" s="95">
        <f t="shared" si="43"/>
        <v>27167669.994465813</v>
      </c>
      <c r="Y237" s="95">
        <f t="shared" si="44"/>
        <v>27425458.389558382</v>
      </c>
      <c r="Z237" s="1"/>
      <c r="AA237" s="1"/>
      <c r="AB237" s="1"/>
      <c r="AC237" s="1"/>
      <c r="AD237" s="1"/>
      <c r="AE237" s="1"/>
      <c r="AF237" s="1"/>
      <c r="AG237" s="1"/>
      <c r="AH237" s="1"/>
    </row>
    <row r="238" spans="8:34" x14ac:dyDescent="0.35"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>
        <f t="shared" si="40"/>
        <v>183</v>
      </c>
      <c r="V238" s="95">
        <f t="shared" si="41"/>
        <v>27425458.389558382</v>
      </c>
      <c r="W238" s="95">
        <f t="shared" si="42"/>
        <v>150000.00227500143</v>
      </c>
      <c r="X238" s="95">
        <f t="shared" si="43"/>
        <v>27275458.387283381</v>
      </c>
      <c r="Y238" s="95">
        <f t="shared" si="44"/>
        <v>27534269.56411615</v>
      </c>
      <c r="Z238" s="1"/>
      <c r="AA238" s="1"/>
      <c r="AB238" s="1"/>
      <c r="AC238" s="1"/>
      <c r="AD238" s="1"/>
      <c r="AE238" s="1"/>
      <c r="AF238" s="1"/>
      <c r="AG238" s="1"/>
      <c r="AH238" s="1"/>
    </row>
    <row r="239" spans="8:34" x14ac:dyDescent="0.35"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>
        <f t="shared" si="40"/>
        <v>184</v>
      </c>
      <c r="V239" s="95">
        <f t="shared" si="41"/>
        <v>27534269.56411615</v>
      </c>
      <c r="W239" s="95">
        <f t="shared" si="42"/>
        <v>150000.00228750144</v>
      </c>
      <c r="X239" s="95">
        <f t="shared" si="43"/>
        <v>27384269.561828651</v>
      </c>
      <c r="Y239" s="95">
        <f t="shared" si="44"/>
        <v>27644113.225365646</v>
      </c>
      <c r="Z239" s="1"/>
      <c r="AA239" s="1"/>
      <c r="AB239" s="1"/>
      <c r="AC239" s="1"/>
      <c r="AD239" s="1"/>
      <c r="AE239" s="1"/>
      <c r="AF239" s="1"/>
      <c r="AG239" s="1"/>
      <c r="AH239" s="1"/>
    </row>
    <row r="240" spans="8:34" x14ac:dyDescent="0.35"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>
        <f t="shared" si="40"/>
        <v>185</v>
      </c>
      <c r="V240" s="95">
        <f t="shared" si="41"/>
        <v>27644113.225365646</v>
      </c>
      <c r="W240" s="95">
        <f t="shared" si="42"/>
        <v>150000.00230000145</v>
      </c>
      <c r="X240" s="95">
        <f t="shared" si="43"/>
        <v>27494113.223065645</v>
      </c>
      <c r="Y240" s="95">
        <f t="shared" si="44"/>
        <v>27754999.170359295</v>
      </c>
      <c r="Z240" s="1"/>
      <c r="AA240" s="1"/>
      <c r="AB240" s="1"/>
      <c r="AC240" s="1"/>
      <c r="AD240" s="1"/>
      <c r="AE240" s="1"/>
      <c r="AF240" s="1"/>
      <c r="AG240" s="1"/>
      <c r="AH240" s="1"/>
    </row>
    <row r="241" spans="8:34" x14ac:dyDescent="0.35"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>
        <f t="shared" si="40"/>
        <v>186</v>
      </c>
      <c r="V241" s="95">
        <f t="shared" si="41"/>
        <v>27754999.170359295</v>
      </c>
      <c r="W241" s="95">
        <f t="shared" si="42"/>
        <v>150000.00231250146</v>
      </c>
      <c r="X241" s="95">
        <f t="shared" si="43"/>
        <v>27604999.168046795</v>
      </c>
      <c r="Y241" s="95">
        <f t="shared" si="44"/>
        <v>27866937.28911173</v>
      </c>
      <c r="Z241" s="1"/>
      <c r="AA241" s="1"/>
      <c r="AB241" s="1"/>
      <c r="AC241" s="1"/>
      <c r="AD241" s="1"/>
      <c r="AE241" s="1"/>
      <c r="AF241" s="1"/>
      <c r="AG241" s="1"/>
      <c r="AH241" s="1"/>
    </row>
    <row r="242" spans="8:34" x14ac:dyDescent="0.35"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>
        <f t="shared" si="40"/>
        <v>187</v>
      </c>
      <c r="V242" s="95">
        <f t="shared" si="41"/>
        <v>27866937.28911173</v>
      </c>
      <c r="W242" s="95">
        <f t="shared" si="42"/>
        <v>150000.00232500146</v>
      </c>
      <c r="X242" s="95">
        <f t="shared" si="43"/>
        <v>27716937.286786728</v>
      </c>
      <c r="Y242" s="95">
        <f t="shared" si="44"/>
        <v>27979937.565481871</v>
      </c>
      <c r="Z242" s="1"/>
      <c r="AA242" s="1"/>
      <c r="AB242" s="1"/>
      <c r="AC242" s="1"/>
      <c r="AD242" s="1"/>
      <c r="AE242" s="1"/>
      <c r="AF242" s="1"/>
      <c r="AG242" s="1"/>
      <c r="AH242" s="1"/>
    </row>
    <row r="243" spans="8:34" x14ac:dyDescent="0.35"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>
        <f t="shared" si="40"/>
        <v>188</v>
      </c>
      <c r="V243" s="95">
        <f t="shared" si="41"/>
        <v>27979937.565481871</v>
      </c>
      <c r="W243" s="95">
        <f t="shared" si="42"/>
        <v>150000.00233750147</v>
      </c>
      <c r="X243" s="95">
        <f t="shared" si="43"/>
        <v>27829937.563144371</v>
      </c>
      <c r="Y243" s="95">
        <f t="shared" si="44"/>
        <v>28094010.078063421</v>
      </c>
      <c r="Z243" s="1"/>
      <c r="AA243" s="1"/>
      <c r="AB243" s="1"/>
      <c r="AC243" s="1"/>
      <c r="AD243" s="1"/>
      <c r="AE243" s="1"/>
      <c r="AF243" s="1"/>
      <c r="AG243" s="1"/>
      <c r="AH243" s="1"/>
    </row>
    <row r="244" spans="8:34" x14ac:dyDescent="0.35"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>
        <f t="shared" si="40"/>
        <v>189</v>
      </c>
      <c r="V244" s="95">
        <f t="shared" si="41"/>
        <v>28094010.078063421</v>
      </c>
      <c r="W244" s="95">
        <f t="shared" si="42"/>
        <v>150000.00235000148</v>
      </c>
      <c r="X244" s="95">
        <f t="shared" si="43"/>
        <v>27944010.075713418</v>
      </c>
      <c r="Y244" s="95">
        <f t="shared" si="44"/>
        <v>28209165.001083765</v>
      </c>
      <c r="Z244" s="1"/>
      <c r="AA244" s="1"/>
      <c r="AB244" s="1"/>
      <c r="AC244" s="1"/>
      <c r="AD244" s="1"/>
      <c r="AE244" s="1"/>
      <c r="AF244" s="1"/>
      <c r="AG244" s="1"/>
      <c r="AH244" s="1"/>
    </row>
    <row r="245" spans="8:34" x14ac:dyDescent="0.35"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>
        <f t="shared" si="40"/>
        <v>190</v>
      </c>
      <c r="V245" s="95">
        <f t="shared" si="41"/>
        <v>28209165.001083765</v>
      </c>
      <c r="W245" s="95">
        <f t="shared" si="42"/>
        <v>150000.00236250149</v>
      </c>
      <c r="X245" s="95">
        <f t="shared" si="43"/>
        <v>28059164.998721264</v>
      </c>
      <c r="Y245" s="95">
        <f t="shared" si="44"/>
        <v>28325412.605311431</v>
      </c>
      <c r="Z245" s="1"/>
      <c r="AA245" s="1"/>
      <c r="AB245" s="1"/>
      <c r="AC245" s="1"/>
      <c r="AD245" s="1"/>
      <c r="AE245" s="1"/>
      <c r="AF245" s="1"/>
      <c r="AG245" s="1"/>
      <c r="AH245" s="1"/>
    </row>
    <row r="246" spans="8:34" x14ac:dyDescent="0.35"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>
        <f t="shared" si="40"/>
        <v>191</v>
      </c>
      <c r="V246" s="95">
        <f t="shared" si="41"/>
        <v>28325412.605311431</v>
      </c>
      <c r="W246" s="95">
        <f t="shared" si="42"/>
        <v>150000.0023750015</v>
      </c>
      <c r="X246" s="95">
        <f t="shared" si="43"/>
        <v>28175412.602936428</v>
      </c>
      <c r="Y246" s="95">
        <f t="shared" si="44"/>
        <v>28442763.258972134</v>
      </c>
      <c r="Z246" s="1"/>
      <c r="AA246" s="1"/>
      <c r="AB246" s="1"/>
      <c r="AC246" s="1"/>
      <c r="AD246" s="1"/>
      <c r="AE246" s="1"/>
      <c r="AF246" s="1"/>
      <c r="AG246" s="1"/>
      <c r="AH246" s="1"/>
    </row>
    <row r="247" spans="8:34" x14ac:dyDescent="0.35"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>
        <f t="shared" si="40"/>
        <v>192</v>
      </c>
      <c r="V247" s="95">
        <f t="shared" si="41"/>
        <v>28442763.258972134</v>
      </c>
      <c r="W247" s="95">
        <f t="shared" si="42"/>
        <v>150000.0023875015</v>
      </c>
      <c r="X247" s="95">
        <f t="shared" si="43"/>
        <v>28292763.256584633</v>
      </c>
      <c r="Y247" s="95">
        <f t="shared" si="44"/>
        <v>28561227.428673543</v>
      </c>
      <c r="Z247" s="1"/>
      <c r="AA247" s="1"/>
      <c r="AB247" s="1"/>
      <c r="AC247" s="1"/>
      <c r="AD247" s="1"/>
      <c r="AE247" s="1"/>
      <c r="AF247" s="1"/>
      <c r="AG247" s="1"/>
      <c r="AH247" s="1"/>
    </row>
    <row r="248" spans="8:34" x14ac:dyDescent="0.35"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>
        <f t="shared" si="40"/>
        <v>193</v>
      </c>
      <c r="V248" s="95">
        <f t="shared" si="41"/>
        <v>28561227.428673543</v>
      </c>
      <c r="W248" s="95">
        <f t="shared" si="42"/>
        <v>150000.00240000151</v>
      </c>
      <c r="X248" s="95">
        <f t="shared" si="43"/>
        <v>28411227.42627354</v>
      </c>
      <c r="Y248" s="95">
        <f t="shared" si="44"/>
        <v>28680815.680338796</v>
      </c>
      <c r="Z248" s="1"/>
      <c r="AA248" s="1"/>
      <c r="AB248" s="1"/>
      <c r="AC248" s="1"/>
      <c r="AD248" s="1"/>
      <c r="AE248" s="1"/>
      <c r="AF248" s="1"/>
      <c r="AG248" s="1"/>
      <c r="AH248" s="1"/>
    </row>
    <row r="249" spans="8:34" x14ac:dyDescent="0.35"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>
        <f t="shared" si="40"/>
        <v>194</v>
      </c>
      <c r="V249" s="95">
        <f t="shared" si="41"/>
        <v>28680815.680338796</v>
      </c>
      <c r="W249" s="95">
        <f t="shared" si="42"/>
        <v>150000.00241250152</v>
      </c>
      <c r="X249" s="95">
        <f t="shared" si="43"/>
        <v>28530815.677926295</v>
      </c>
      <c r="Y249" s="95">
        <f t="shared" si="44"/>
        <v>28801538.680148892</v>
      </c>
      <c r="Z249" s="1"/>
      <c r="AA249" s="1"/>
      <c r="AB249" s="1"/>
      <c r="AC249" s="1"/>
      <c r="AD249" s="1"/>
      <c r="AE249" s="1"/>
      <c r="AF249" s="1"/>
      <c r="AG249" s="1"/>
      <c r="AH249" s="1"/>
    </row>
    <row r="250" spans="8:34" x14ac:dyDescent="0.35"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>
        <f t="shared" ref="U250:U313" si="45">U249+1</f>
        <v>195</v>
      </c>
      <c r="V250" s="95">
        <f t="shared" ref="V250:V313" si="46">Y249</f>
        <v>28801538.680148892</v>
      </c>
      <c r="W250" s="95">
        <f t="shared" ref="W250:W313" si="47">W249+W249*($F$15/12)</f>
        <v>150000.00242500153</v>
      </c>
      <c r="X250" s="95">
        <f t="shared" ref="X250:X313" si="48">V250-W250</f>
        <v>28651538.677723892</v>
      </c>
      <c r="Y250" s="95">
        <f t="shared" ref="Y250:Y313" si="49">X250+(X250*($K$9/12))</f>
        <v>28923407.195494011</v>
      </c>
      <c r="Z250" s="1"/>
      <c r="AA250" s="1"/>
      <c r="AB250" s="1"/>
      <c r="AC250" s="1"/>
      <c r="AD250" s="1"/>
      <c r="AE250" s="1"/>
      <c r="AF250" s="1"/>
      <c r="AG250" s="1"/>
      <c r="AH250" s="1"/>
    </row>
    <row r="251" spans="8:34" x14ac:dyDescent="0.35"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>
        <f t="shared" si="45"/>
        <v>196</v>
      </c>
      <c r="V251" s="95">
        <f t="shared" si="46"/>
        <v>28923407.195494011</v>
      </c>
      <c r="W251" s="95">
        <f t="shared" si="47"/>
        <v>150000.00243750153</v>
      </c>
      <c r="X251" s="95">
        <f t="shared" si="48"/>
        <v>28773407.193056509</v>
      </c>
      <c r="Y251" s="95">
        <f t="shared" si="49"/>
        <v>29046432.095933866</v>
      </c>
      <c r="Z251" s="1"/>
      <c r="AA251" s="1"/>
      <c r="AB251" s="1"/>
      <c r="AC251" s="1"/>
      <c r="AD251" s="1"/>
      <c r="AE251" s="1"/>
      <c r="AF251" s="1"/>
      <c r="AG251" s="1"/>
      <c r="AH251" s="1"/>
    </row>
    <row r="252" spans="8:34" x14ac:dyDescent="0.35"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>
        <f t="shared" si="45"/>
        <v>197</v>
      </c>
      <c r="V252" s="95">
        <f t="shared" si="46"/>
        <v>29046432.095933866</v>
      </c>
      <c r="W252" s="95">
        <f t="shared" si="47"/>
        <v>150000.00245000154</v>
      </c>
      <c r="X252" s="95">
        <f t="shared" si="48"/>
        <v>28896432.093483865</v>
      </c>
      <c r="Y252" s="95">
        <f t="shared" si="49"/>
        <v>29170624.354167175</v>
      </c>
      <c r="Z252" s="1"/>
      <c r="AA252" s="1"/>
      <c r="AB252" s="1"/>
      <c r="AC252" s="1"/>
      <c r="AD252" s="1"/>
      <c r="AE252" s="1"/>
      <c r="AF252" s="1"/>
      <c r="AG252" s="1"/>
      <c r="AH252" s="1"/>
    </row>
    <row r="253" spans="8:34" x14ac:dyDescent="0.35"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>
        <f t="shared" si="45"/>
        <v>198</v>
      </c>
      <c r="V253" s="95">
        <f t="shared" si="46"/>
        <v>29170624.354167175</v>
      </c>
      <c r="W253" s="95">
        <f t="shared" si="47"/>
        <v>150000.00246250155</v>
      </c>
      <c r="X253" s="95">
        <f t="shared" si="48"/>
        <v>29020624.351704672</v>
      </c>
      <c r="Y253" s="95">
        <f t="shared" si="49"/>
        <v>29295995.047010317</v>
      </c>
      <c r="Z253" s="1"/>
      <c r="AA253" s="1"/>
      <c r="AB253" s="1"/>
      <c r="AC253" s="1"/>
      <c r="AD253" s="1"/>
      <c r="AE253" s="1"/>
      <c r="AF253" s="1"/>
      <c r="AG253" s="1"/>
      <c r="AH253" s="1"/>
    </row>
    <row r="254" spans="8:34" x14ac:dyDescent="0.35"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>
        <f t="shared" si="45"/>
        <v>199</v>
      </c>
      <c r="V254" s="95">
        <f t="shared" si="46"/>
        <v>29295995.047010317</v>
      </c>
      <c r="W254" s="95">
        <f t="shared" si="47"/>
        <v>150000.00247500156</v>
      </c>
      <c r="X254" s="95">
        <f t="shared" si="48"/>
        <v>29145995.044535317</v>
      </c>
      <c r="Y254" s="95">
        <f t="shared" si="49"/>
        <v>29422555.356385294</v>
      </c>
      <c r="Z254" s="1"/>
      <c r="AA254" s="1"/>
      <c r="AB254" s="1"/>
      <c r="AC254" s="1"/>
      <c r="AD254" s="1"/>
      <c r="AE254" s="1"/>
      <c r="AF254" s="1"/>
      <c r="AG254" s="1"/>
      <c r="AH254" s="1"/>
    </row>
    <row r="255" spans="8:34" x14ac:dyDescent="0.35"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>
        <f t="shared" si="45"/>
        <v>200</v>
      </c>
      <c r="V255" s="95">
        <f t="shared" si="46"/>
        <v>29422555.356385294</v>
      </c>
      <c r="W255" s="95">
        <f t="shared" si="47"/>
        <v>150000.00248750157</v>
      </c>
      <c r="X255" s="95">
        <f t="shared" si="48"/>
        <v>29272555.353897791</v>
      </c>
      <c r="Y255" s="95">
        <f t="shared" si="49"/>
        <v>29550316.570317049</v>
      </c>
      <c r="Z255" s="1"/>
      <c r="AA255" s="1"/>
      <c r="AB255" s="1"/>
      <c r="AC255" s="1"/>
      <c r="AD255" s="1"/>
      <c r="AE255" s="1"/>
      <c r="AF255" s="1"/>
      <c r="AG255" s="1"/>
      <c r="AH255" s="1"/>
    </row>
    <row r="256" spans="8:34" x14ac:dyDescent="0.35"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>
        <f t="shared" si="45"/>
        <v>201</v>
      </c>
      <c r="V256" s="95">
        <f t="shared" si="46"/>
        <v>29550316.570317049</v>
      </c>
      <c r="W256" s="95">
        <f t="shared" si="47"/>
        <v>150000.00250000157</v>
      </c>
      <c r="X256" s="95">
        <f t="shared" si="48"/>
        <v>29400316.567817047</v>
      </c>
      <c r="Y256" s="95">
        <f t="shared" si="49"/>
        <v>29679290.083940253</v>
      </c>
      <c r="Z256" s="1"/>
      <c r="AA256" s="1"/>
      <c r="AB256" s="1"/>
      <c r="AC256" s="1"/>
      <c r="AD256" s="1"/>
      <c r="AE256" s="1"/>
      <c r="AF256" s="1"/>
      <c r="AG256" s="1"/>
      <c r="AH256" s="1"/>
    </row>
    <row r="257" spans="8:34" x14ac:dyDescent="0.35"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>
        <f t="shared" si="45"/>
        <v>202</v>
      </c>
      <c r="V257" s="95">
        <f t="shared" si="46"/>
        <v>29679290.083940253</v>
      </c>
      <c r="W257" s="95">
        <f t="shared" si="47"/>
        <v>150000.00251250158</v>
      </c>
      <c r="X257" s="95">
        <f t="shared" si="48"/>
        <v>29529290.081427749</v>
      </c>
      <c r="Y257" s="95">
        <f t="shared" si="49"/>
        <v>29809487.400515653</v>
      </c>
      <c r="Z257" s="1"/>
      <c r="AA257" s="1"/>
      <c r="AB257" s="1"/>
      <c r="AC257" s="1"/>
      <c r="AD257" s="1"/>
      <c r="AE257" s="1"/>
      <c r="AF257" s="1"/>
      <c r="AG257" s="1"/>
      <c r="AH257" s="1"/>
    </row>
    <row r="258" spans="8:34" x14ac:dyDescent="0.35"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>
        <f t="shared" si="45"/>
        <v>203</v>
      </c>
      <c r="V258" s="95">
        <f t="shared" si="46"/>
        <v>29809487.400515653</v>
      </c>
      <c r="W258" s="95">
        <f t="shared" si="47"/>
        <v>150000.00252500159</v>
      </c>
      <c r="X258" s="95">
        <f t="shared" si="48"/>
        <v>29659487.397990651</v>
      </c>
      <c r="Y258" s="95">
        <f t="shared" si="49"/>
        <v>29940920.13245606</v>
      </c>
      <c r="Z258" s="1"/>
      <c r="AA258" s="1"/>
      <c r="AB258" s="1"/>
      <c r="AC258" s="1"/>
      <c r="AD258" s="1"/>
      <c r="AE258" s="1"/>
      <c r="AF258" s="1"/>
      <c r="AG258" s="1"/>
      <c r="AH258" s="1"/>
    </row>
    <row r="259" spans="8:34" x14ac:dyDescent="0.35"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>
        <f t="shared" si="45"/>
        <v>204</v>
      </c>
      <c r="V259" s="95">
        <f t="shared" si="46"/>
        <v>29940920.13245606</v>
      </c>
      <c r="W259" s="95">
        <f t="shared" si="47"/>
        <v>150000.0025375016</v>
      </c>
      <c r="X259" s="95">
        <f t="shared" si="48"/>
        <v>29790920.12991856</v>
      </c>
      <c r="Y259" s="95">
        <f t="shared" si="49"/>
        <v>30073600.002362058</v>
      </c>
      <c r="Z259" s="1"/>
      <c r="AA259" s="1"/>
      <c r="AB259" s="1"/>
      <c r="AC259" s="1"/>
      <c r="AD259" s="1"/>
      <c r="AE259" s="1"/>
      <c r="AF259" s="1"/>
      <c r="AG259" s="1"/>
      <c r="AH259" s="1"/>
    </row>
    <row r="260" spans="8:34" x14ac:dyDescent="0.35"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>
        <f t="shared" si="45"/>
        <v>205</v>
      </c>
      <c r="V260" s="95">
        <f t="shared" si="46"/>
        <v>30073600.002362058</v>
      </c>
      <c r="W260" s="95">
        <f t="shared" si="47"/>
        <v>150000.00255000161</v>
      </c>
      <c r="X260" s="95">
        <f t="shared" si="48"/>
        <v>29923599.999812055</v>
      </c>
      <c r="Y260" s="95">
        <f t="shared" si="49"/>
        <v>30207538.844067562</v>
      </c>
      <c r="Z260" s="1"/>
      <c r="AA260" s="1"/>
      <c r="AB260" s="1"/>
      <c r="AC260" s="1"/>
      <c r="AD260" s="1"/>
      <c r="AE260" s="1"/>
      <c r="AF260" s="1"/>
      <c r="AG260" s="1"/>
      <c r="AH260" s="1"/>
    </row>
    <row r="261" spans="8:34" x14ac:dyDescent="0.35"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>
        <f t="shared" si="45"/>
        <v>206</v>
      </c>
      <c r="V261" s="95">
        <f t="shared" si="46"/>
        <v>30207538.844067562</v>
      </c>
      <c r="W261" s="95">
        <f t="shared" si="47"/>
        <v>150000.00256250161</v>
      </c>
      <c r="X261" s="95">
        <f t="shared" si="48"/>
        <v>30057538.841505062</v>
      </c>
      <c r="Y261" s="95">
        <f t="shared" si="49"/>
        <v>30342748.603695292</v>
      </c>
      <c r="Z261" s="1"/>
      <c r="AA261" s="1"/>
      <c r="AB261" s="1"/>
      <c r="AC261" s="1"/>
      <c r="AD261" s="1"/>
      <c r="AE261" s="1"/>
      <c r="AF261" s="1"/>
      <c r="AG261" s="1"/>
      <c r="AH261" s="1"/>
    </row>
    <row r="262" spans="8:34" x14ac:dyDescent="0.35"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>
        <f t="shared" si="45"/>
        <v>207</v>
      </c>
      <c r="V262" s="95">
        <f t="shared" si="46"/>
        <v>30342748.603695292</v>
      </c>
      <c r="W262" s="95">
        <f t="shared" si="47"/>
        <v>150000.00257500162</v>
      </c>
      <c r="X262" s="95">
        <f t="shared" si="48"/>
        <v>30192748.601120289</v>
      </c>
      <c r="Y262" s="95">
        <f t="shared" si="49"/>
        <v>30479241.340722241</v>
      </c>
      <c r="Z262" s="1"/>
      <c r="AA262" s="1"/>
      <c r="AB262" s="1"/>
      <c r="AC262" s="1"/>
      <c r="AD262" s="1"/>
      <c r="AE262" s="1"/>
      <c r="AF262" s="1"/>
      <c r="AG262" s="1"/>
      <c r="AH262" s="1"/>
    </row>
    <row r="263" spans="8:34" x14ac:dyDescent="0.35"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>
        <f t="shared" si="45"/>
        <v>208</v>
      </c>
      <c r="V263" s="95">
        <f t="shared" si="46"/>
        <v>30479241.340722241</v>
      </c>
      <c r="W263" s="95">
        <f t="shared" si="47"/>
        <v>150000.00258750163</v>
      </c>
      <c r="X263" s="95">
        <f t="shared" si="48"/>
        <v>30329241.33813474</v>
      </c>
      <c r="Y263" s="95">
        <f t="shared" si="49"/>
        <v>30617029.229055297</v>
      </c>
      <c r="Z263" s="1"/>
      <c r="AA263" s="1"/>
      <c r="AB263" s="1"/>
      <c r="AC263" s="1"/>
      <c r="AD263" s="1"/>
      <c r="AE263" s="1"/>
      <c r="AF263" s="1"/>
      <c r="AG263" s="1"/>
      <c r="AH263" s="1"/>
    </row>
    <row r="264" spans="8:34" x14ac:dyDescent="0.35"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>
        <f t="shared" si="45"/>
        <v>209</v>
      </c>
      <c r="V264" s="95">
        <f t="shared" si="46"/>
        <v>30617029.229055297</v>
      </c>
      <c r="W264" s="95">
        <f t="shared" si="47"/>
        <v>150000.00260000164</v>
      </c>
      <c r="X264" s="95">
        <f t="shared" si="48"/>
        <v>30467029.226455294</v>
      </c>
      <c r="Y264" s="95">
        <f t="shared" si="49"/>
        <v>30756124.558117017</v>
      </c>
      <c r="Z264" s="1"/>
      <c r="AA264" s="1"/>
      <c r="AB264" s="1"/>
      <c r="AC264" s="1"/>
      <c r="AD264" s="1"/>
      <c r="AE264" s="1"/>
      <c r="AF264" s="1"/>
      <c r="AG264" s="1"/>
      <c r="AH264" s="1"/>
    </row>
    <row r="265" spans="8:34" x14ac:dyDescent="0.35"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>
        <f t="shared" si="45"/>
        <v>210</v>
      </c>
      <c r="V265" s="95">
        <f t="shared" si="46"/>
        <v>30756124.558117017</v>
      </c>
      <c r="W265" s="95">
        <f t="shared" si="47"/>
        <v>150000.00261250164</v>
      </c>
      <c r="X265" s="95">
        <f t="shared" si="48"/>
        <v>30606124.555504516</v>
      </c>
      <c r="Y265" s="95">
        <f t="shared" si="49"/>
        <v>30896539.733941756</v>
      </c>
      <c r="Z265" s="1"/>
      <c r="AA265" s="1"/>
      <c r="AB265" s="1"/>
      <c r="AC265" s="1"/>
      <c r="AD265" s="1"/>
      <c r="AE265" s="1"/>
      <c r="AF265" s="1"/>
      <c r="AG265" s="1"/>
      <c r="AH265" s="1"/>
    </row>
    <row r="266" spans="8:34" x14ac:dyDescent="0.35"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>
        <f t="shared" si="45"/>
        <v>211</v>
      </c>
      <c r="V266" s="95">
        <f t="shared" si="46"/>
        <v>30896539.733941756</v>
      </c>
      <c r="W266" s="95">
        <f t="shared" si="47"/>
        <v>150000.00262500165</v>
      </c>
      <c r="X266" s="95">
        <f t="shared" si="48"/>
        <v>30746539.731316753</v>
      </c>
      <c r="Y266" s="95">
        <f t="shared" si="49"/>
        <v>31038287.280282147</v>
      </c>
      <c r="Z266" s="1"/>
      <c r="AA266" s="1"/>
      <c r="AB266" s="1"/>
      <c r="AC266" s="1"/>
      <c r="AD266" s="1"/>
      <c r="AE266" s="1"/>
      <c r="AF266" s="1"/>
      <c r="AG266" s="1"/>
      <c r="AH266" s="1"/>
    </row>
    <row r="267" spans="8:34" x14ac:dyDescent="0.35"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>
        <f t="shared" si="45"/>
        <v>212</v>
      </c>
      <c r="V267" s="95">
        <f t="shared" si="46"/>
        <v>31038287.280282147</v>
      </c>
      <c r="W267" s="95">
        <f t="shared" si="47"/>
        <v>150000.00263750166</v>
      </c>
      <c r="X267" s="95">
        <f t="shared" si="48"/>
        <v>30888287.277644645</v>
      </c>
      <c r="Y267" s="95">
        <f t="shared" si="49"/>
        <v>31181379.839726131</v>
      </c>
      <c r="Z267" s="1"/>
      <c r="AA267" s="1"/>
      <c r="AB267" s="1"/>
      <c r="AC267" s="1"/>
      <c r="AD267" s="1"/>
      <c r="AE267" s="1"/>
      <c r="AF267" s="1"/>
      <c r="AG267" s="1"/>
      <c r="AH267" s="1"/>
    </row>
    <row r="268" spans="8:34" x14ac:dyDescent="0.35"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>
        <f t="shared" si="45"/>
        <v>213</v>
      </c>
      <c r="V268" s="95">
        <f t="shared" si="46"/>
        <v>31181379.839726131</v>
      </c>
      <c r="W268" s="95">
        <f t="shared" si="47"/>
        <v>150000.00265000167</v>
      </c>
      <c r="X268" s="95">
        <f t="shared" si="48"/>
        <v>31031379.837076131</v>
      </c>
      <c r="Y268" s="95">
        <f t="shared" si="49"/>
        <v>31325830.174824543</v>
      </c>
      <c r="Z268" s="1"/>
      <c r="AA268" s="1"/>
      <c r="AB268" s="1"/>
      <c r="AC268" s="1"/>
      <c r="AD268" s="1"/>
      <c r="AE268" s="1"/>
      <c r="AF268" s="1"/>
      <c r="AG268" s="1"/>
      <c r="AH268" s="1"/>
    </row>
    <row r="269" spans="8:34" x14ac:dyDescent="0.35"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>
        <f t="shared" si="45"/>
        <v>214</v>
      </c>
      <c r="V269" s="95">
        <f t="shared" si="46"/>
        <v>31325830.174824543</v>
      </c>
      <c r="W269" s="95">
        <f t="shared" si="47"/>
        <v>150000.00266250168</v>
      </c>
      <c r="X269" s="95">
        <f t="shared" si="48"/>
        <v>31175830.172162041</v>
      </c>
      <c r="Y269" s="95">
        <f t="shared" si="49"/>
        <v>31471651.169229414</v>
      </c>
      <c r="Z269" s="1"/>
      <c r="AA269" s="1"/>
      <c r="AB269" s="1"/>
      <c r="AC269" s="1"/>
      <c r="AD269" s="1"/>
      <c r="AE269" s="1"/>
      <c r="AF269" s="1"/>
      <c r="AG269" s="1"/>
      <c r="AH269" s="1"/>
    </row>
    <row r="270" spans="8:34" x14ac:dyDescent="0.35"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>
        <f t="shared" si="45"/>
        <v>215</v>
      </c>
      <c r="V270" s="95">
        <f t="shared" si="46"/>
        <v>31471651.169229414</v>
      </c>
      <c r="W270" s="95">
        <f t="shared" si="47"/>
        <v>150000.00267500168</v>
      </c>
      <c r="X270" s="95">
        <f t="shared" si="48"/>
        <v>31321651.166554414</v>
      </c>
      <c r="Y270" s="95">
        <f t="shared" si="49"/>
        <v>31618855.828843091</v>
      </c>
      <c r="Z270" s="1"/>
      <c r="AA270" s="1"/>
      <c r="AB270" s="1"/>
      <c r="AC270" s="1"/>
      <c r="AD270" s="1"/>
      <c r="AE270" s="1"/>
      <c r="AF270" s="1"/>
      <c r="AG270" s="1"/>
      <c r="AH270" s="1"/>
    </row>
    <row r="271" spans="8:34" x14ac:dyDescent="0.35"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>
        <f t="shared" si="45"/>
        <v>216</v>
      </c>
      <c r="V271" s="95">
        <f t="shared" si="46"/>
        <v>31618855.828843091</v>
      </c>
      <c r="W271" s="95">
        <f t="shared" si="47"/>
        <v>150000.00268750169</v>
      </c>
      <c r="X271" s="95">
        <f t="shared" si="48"/>
        <v>31468855.826155588</v>
      </c>
      <c r="Y271" s="95">
        <f t="shared" si="49"/>
        <v>31767457.282978225</v>
      </c>
      <c r="Z271" s="1"/>
      <c r="AA271" s="1"/>
      <c r="AB271" s="1"/>
      <c r="AC271" s="1"/>
      <c r="AD271" s="1"/>
      <c r="AE271" s="1"/>
      <c r="AF271" s="1"/>
      <c r="AG271" s="1"/>
      <c r="AH271" s="1"/>
    </row>
    <row r="272" spans="8:34" x14ac:dyDescent="0.35"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>
        <f t="shared" si="45"/>
        <v>217</v>
      </c>
      <c r="V272" s="95">
        <f t="shared" si="46"/>
        <v>31767457.282978225</v>
      </c>
      <c r="W272" s="95">
        <f t="shared" si="47"/>
        <v>150000.0027000017</v>
      </c>
      <c r="X272" s="95">
        <f t="shared" si="48"/>
        <v>31617457.280278224</v>
      </c>
      <c r="Y272" s="95">
        <f t="shared" si="49"/>
        <v>31917468.785528809</v>
      </c>
      <c r="Z272" s="1"/>
      <c r="AA272" s="1"/>
      <c r="AB272" s="1"/>
      <c r="AC272" s="1"/>
      <c r="AD272" s="1"/>
      <c r="AE272" s="1"/>
      <c r="AF272" s="1"/>
      <c r="AG272" s="1"/>
      <c r="AH272" s="1"/>
    </row>
    <row r="273" spans="8:34" x14ac:dyDescent="0.35"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>
        <f t="shared" si="45"/>
        <v>218</v>
      </c>
      <c r="V273" s="95">
        <f t="shared" si="46"/>
        <v>31917468.785528809</v>
      </c>
      <c r="W273" s="95">
        <f t="shared" si="47"/>
        <v>150000.00271250171</v>
      </c>
      <c r="X273" s="95">
        <f t="shared" si="48"/>
        <v>31767468.782816306</v>
      </c>
      <c r="Y273" s="95">
        <f t="shared" si="49"/>
        <v>32068903.716152281</v>
      </c>
      <c r="Z273" s="1"/>
      <c r="AA273" s="1"/>
      <c r="AB273" s="1"/>
      <c r="AC273" s="1"/>
      <c r="AD273" s="1"/>
      <c r="AE273" s="1"/>
      <c r="AF273" s="1"/>
      <c r="AG273" s="1"/>
      <c r="AH273" s="1"/>
    </row>
    <row r="274" spans="8:34" x14ac:dyDescent="0.35"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>
        <f t="shared" si="45"/>
        <v>219</v>
      </c>
      <c r="V274" s="95">
        <f t="shared" si="46"/>
        <v>32068903.716152281</v>
      </c>
      <c r="W274" s="95">
        <f t="shared" si="47"/>
        <v>150000.00272500172</v>
      </c>
      <c r="X274" s="95">
        <f t="shared" si="48"/>
        <v>31918903.713427279</v>
      </c>
      <c r="Y274" s="95">
        <f t="shared" si="49"/>
        <v>32221775.581462886</v>
      </c>
      <c r="Z274" s="1"/>
      <c r="AA274" s="1"/>
      <c r="AB274" s="1"/>
      <c r="AC274" s="1"/>
      <c r="AD274" s="1"/>
      <c r="AE274" s="1"/>
      <c r="AF274" s="1"/>
      <c r="AG274" s="1"/>
      <c r="AH274" s="1"/>
    </row>
    <row r="275" spans="8:34" x14ac:dyDescent="0.35"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>
        <f t="shared" si="45"/>
        <v>220</v>
      </c>
      <c r="V275" s="95">
        <f t="shared" si="46"/>
        <v>32221775.581462886</v>
      </c>
      <c r="W275" s="95">
        <f t="shared" si="47"/>
        <v>150000.00273750172</v>
      </c>
      <c r="X275" s="95">
        <f t="shared" si="48"/>
        <v>32071775.578725383</v>
      </c>
      <c r="Y275" s="95">
        <f t="shared" si="49"/>
        <v>32376098.016236324</v>
      </c>
      <c r="Z275" s="1"/>
      <c r="AA275" s="1"/>
      <c r="AB275" s="1"/>
      <c r="AC275" s="1"/>
      <c r="AD275" s="1"/>
      <c r="AE275" s="1"/>
      <c r="AF275" s="1"/>
      <c r="AG275" s="1"/>
      <c r="AH275" s="1"/>
    </row>
    <row r="276" spans="8:34" x14ac:dyDescent="0.35"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>
        <f t="shared" si="45"/>
        <v>221</v>
      </c>
      <c r="V276" s="95">
        <f t="shared" si="46"/>
        <v>32376098.016236324</v>
      </c>
      <c r="W276" s="95">
        <f t="shared" si="47"/>
        <v>150000.00275000173</v>
      </c>
      <c r="X276" s="95">
        <f t="shared" si="48"/>
        <v>32226098.013486322</v>
      </c>
      <c r="Y276" s="95">
        <f t="shared" si="49"/>
        <v>32531884.784625873</v>
      </c>
      <c r="Z276" s="1"/>
      <c r="AA276" s="1"/>
      <c r="AB276" s="1"/>
      <c r="AC276" s="1"/>
      <c r="AD276" s="1"/>
      <c r="AE276" s="1"/>
      <c r="AF276" s="1"/>
      <c r="AG276" s="1"/>
      <c r="AH276" s="1"/>
    </row>
    <row r="277" spans="8:34" x14ac:dyDescent="0.35"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>
        <f t="shared" si="45"/>
        <v>222</v>
      </c>
      <c r="V277" s="95">
        <f t="shared" si="46"/>
        <v>32531884.784625873</v>
      </c>
      <c r="W277" s="95">
        <f t="shared" si="47"/>
        <v>150000.00276250174</v>
      </c>
      <c r="X277" s="95">
        <f t="shared" si="48"/>
        <v>32381884.781863373</v>
      </c>
      <c r="Y277" s="95">
        <f t="shared" si="49"/>
        <v>32689149.78139</v>
      </c>
      <c r="Z277" s="1"/>
      <c r="AA277" s="1"/>
      <c r="AB277" s="1"/>
      <c r="AC277" s="1"/>
      <c r="AD277" s="1"/>
      <c r="AE277" s="1"/>
      <c r="AF277" s="1"/>
      <c r="AG277" s="1"/>
      <c r="AH277" s="1"/>
    </row>
    <row r="278" spans="8:34" x14ac:dyDescent="0.35"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>
        <f t="shared" si="45"/>
        <v>223</v>
      </c>
      <c r="V278" s="95">
        <f t="shared" si="46"/>
        <v>32689149.78139</v>
      </c>
      <c r="W278" s="95">
        <f t="shared" si="47"/>
        <v>150000.00277500175</v>
      </c>
      <c r="X278" s="95">
        <f t="shared" si="48"/>
        <v>32539149.778614998</v>
      </c>
      <c r="Y278" s="95">
        <f t="shared" si="49"/>
        <v>32847907.033131659</v>
      </c>
      <c r="Z278" s="1"/>
      <c r="AA278" s="1"/>
      <c r="AB278" s="1"/>
      <c r="AC278" s="1"/>
      <c r="AD278" s="1"/>
      <c r="AE278" s="1"/>
      <c r="AF278" s="1"/>
      <c r="AG278" s="1"/>
      <c r="AH278" s="1"/>
    </row>
    <row r="279" spans="8:34" x14ac:dyDescent="0.35"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>
        <f t="shared" si="45"/>
        <v>224</v>
      </c>
      <c r="V279" s="95">
        <f t="shared" si="46"/>
        <v>32847907.033131659</v>
      </c>
      <c r="W279" s="95">
        <f t="shared" si="47"/>
        <v>150000.00278750175</v>
      </c>
      <c r="X279" s="95">
        <f t="shared" si="48"/>
        <v>32697907.030344158</v>
      </c>
      <c r="Y279" s="95">
        <f t="shared" si="49"/>
        <v>33008170.69954934</v>
      </c>
      <c r="Z279" s="1"/>
      <c r="AA279" s="1"/>
      <c r="AB279" s="1"/>
      <c r="AC279" s="1"/>
      <c r="AD279" s="1"/>
      <c r="AE279" s="1"/>
      <c r="AF279" s="1"/>
      <c r="AG279" s="1"/>
      <c r="AH279" s="1"/>
    </row>
    <row r="280" spans="8:34" x14ac:dyDescent="0.35"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>
        <f t="shared" si="45"/>
        <v>225</v>
      </c>
      <c r="V280" s="95">
        <f t="shared" si="46"/>
        <v>33008170.69954934</v>
      </c>
      <c r="W280" s="95">
        <f t="shared" si="47"/>
        <v>150000.00280000176</v>
      </c>
      <c r="X280" s="95">
        <f t="shared" si="48"/>
        <v>32858170.696749337</v>
      </c>
      <c r="Y280" s="95">
        <f t="shared" si="49"/>
        <v>33169955.074699976</v>
      </c>
      <c r="Z280" s="1"/>
      <c r="AA280" s="1"/>
      <c r="AB280" s="1"/>
      <c r="AC280" s="1"/>
      <c r="AD280" s="1"/>
      <c r="AE280" s="1"/>
      <c r="AF280" s="1"/>
      <c r="AG280" s="1"/>
      <c r="AH280" s="1"/>
    </row>
    <row r="281" spans="8:34" x14ac:dyDescent="0.35"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>
        <f t="shared" si="45"/>
        <v>226</v>
      </c>
      <c r="V281" s="95">
        <f t="shared" si="46"/>
        <v>33169955.074699976</v>
      </c>
      <c r="W281" s="95">
        <f t="shared" si="47"/>
        <v>150000.00281250177</v>
      </c>
      <c r="X281" s="95">
        <f t="shared" si="48"/>
        <v>33019955.071887475</v>
      </c>
      <c r="Y281" s="95">
        <f t="shared" si="49"/>
        <v>33333274.588273849</v>
      </c>
      <c r="Z281" s="1"/>
      <c r="AA281" s="1"/>
      <c r="AB281" s="1"/>
      <c r="AC281" s="1"/>
      <c r="AD281" s="1"/>
      <c r="AE281" s="1"/>
      <c r="AF281" s="1"/>
      <c r="AG281" s="1"/>
      <c r="AH281" s="1"/>
    </row>
    <row r="282" spans="8:34" x14ac:dyDescent="0.35"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>
        <f t="shared" si="45"/>
        <v>227</v>
      </c>
      <c r="V282" s="95">
        <f t="shared" si="46"/>
        <v>33333274.588273849</v>
      </c>
      <c r="W282" s="95">
        <f t="shared" si="47"/>
        <v>150000.00282500178</v>
      </c>
      <c r="X282" s="95">
        <f t="shared" si="48"/>
        <v>33183274.585448846</v>
      </c>
      <c r="Y282" s="95">
        <f t="shared" si="49"/>
        <v>33498143.806881584</v>
      </c>
      <c r="Z282" s="1"/>
      <c r="AA282" s="1"/>
      <c r="AB282" s="1"/>
      <c r="AC282" s="1"/>
      <c r="AD282" s="1"/>
      <c r="AE282" s="1"/>
      <c r="AF282" s="1"/>
      <c r="AG282" s="1"/>
      <c r="AH282" s="1"/>
    </row>
    <row r="283" spans="8:34" x14ac:dyDescent="0.35"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>
        <f t="shared" si="45"/>
        <v>228</v>
      </c>
      <c r="V283" s="95">
        <f t="shared" si="46"/>
        <v>33498143.806881584</v>
      </c>
      <c r="W283" s="95">
        <f t="shared" si="47"/>
        <v>150000.00283750179</v>
      </c>
      <c r="X283" s="95">
        <f t="shared" si="48"/>
        <v>33348143.804044083</v>
      </c>
      <c r="Y283" s="95">
        <f t="shared" si="49"/>
        <v>33664577.435353354</v>
      </c>
      <c r="Z283" s="1"/>
      <c r="AA283" s="1"/>
      <c r="AB283" s="1"/>
      <c r="AC283" s="1"/>
      <c r="AD283" s="1"/>
      <c r="AE283" s="1"/>
      <c r="AF283" s="1"/>
      <c r="AG283" s="1"/>
      <c r="AH283" s="1"/>
    </row>
    <row r="284" spans="8:34" x14ac:dyDescent="0.35"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>
        <f t="shared" si="45"/>
        <v>229</v>
      </c>
      <c r="V284" s="95">
        <f t="shared" si="46"/>
        <v>33664577.435353354</v>
      </c>
      <c r="W284" s="95">
        <f t="shared" si="47"/>
        <v>150000.00285000179</v>
      </c>
      <c r="X284" s="95">
        <f t="shared" si="48"/>
        <v>33514577.43250335</v>
      </c>
      <c r="Y284" s="95">
        <f t="shared" si="49"/>
        <v>33832590.318050422</v>
      </c>
      <c r="Z284" s="1"/>
      <c r="AA284" s="1"/>
      <c r="AB284" s="1"/>
      <c r="AC284" s="1"/>
      <c r="AD284" s="1"/>
      <c r="AE284" s="1"/>
      <c r="AF284" s="1"/>
      <c r="AG284" s="1"/>
      <c r="AH284" s="1"/>
    </row>
    <row r="285" spans="8:34" x14ac:dyDescent="0.35"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>
        <f t="shared" si="45"/>
        <v>230</v>
      </c>
      <c r="V285" s="95">
        <f t="shared" si="46"/>
        <v>33832590.318050422</v>
      </c>
      <c r="W285" s="95">
        <f t="shared" si="47"/>
        <v>150000.0028625018</v>
      </c>
      <c r="X285" s="95">
        <f t="shared" si="48"/>
        <v>33682590.315187924</v>
      </c>
      <c r="Y285" s="95">
        <f t="shared" si="49"/>
        <v>34002197.440189131</v>
      </c>
      <c r="Z285" s="1"/>
      <c r="AA285" s="1"/>
      <c r="AB285" s="1"/>
      <c r="AC285" s="1"/>
      <c r="AD285" s="1"/>
      <c r="AE285" s="1"/>
      <c r="AF285" s="1"/>
      <c r="AG285" s="1"/>
      <c r="AH285" s="1"/>
    </row>
    <row r="286" spans="8:34" x14ac:dyDescent="0.35"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>
        <f t="shared" si="45"/>
        <v>231</v>
      </c>
      <c r="V286" s="95">
        <f t="shared" si="46"/>
        <v>34002197.440189131</v>
      </c>
      <c r="W286" s="95">
        <f t="shared" si="47"/>
        <v>150000.00287500181</v>
      </c>
      <c r="X286" s="95">
        <f t="shared" si="48"/>
        <v>33852197.43731413</v>
      </c>
      <c r="Y286" s="95">
        <f t="shared" si="49"/>
        <v>34173413.929177426</v>
      </c>
      <c r="Z286" s="1"/>
      <c r="AA286" s="1"/>
      <c r="AB286" s="1"/>
      <c r="AC286" s="1"/>
      <c r="AD286" s="1"/>
      <c r="AE286" s="1"/>
      <c r="AF286" s="1"/>
      <c r="AG286" s="1"/>
      <c r="AH286" s="1"/>
    </row>
    <row r="287" spans="8:34" x14ac:dyDescent="0.35"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>
        <f t="shared" si="45"/>
        <v>232</v>
      </c>
      <c r="V287" s="95">
        <f t="shared" si="46"/>
        <v>34173413.929177426</v>
      </c>
      <c r="W287" s="95">
        <f t="shared" si="47"/>
        <v>150000.00288750182</v>
      </c>
      <c r="X287" s="95">
        <f t="shared" si="48"/>
        <v>34023413.926289923</v>
      </c>
      <c r="Y287" s="95">
        <f t="shared" si="49"/>
        <v>34346255.055964097</v>
      </c>
      <c r="Z287" s="1"/>
      <c r="AA287" s="1"/>
      <c r="AB287" s="1"/>
      <c r="AC287" s="1"/>
      <c r="AD287" s="1"/>
      <c r="AE287" s="1"/>
      <c r="AF287" s="1"/>
      <c r="AG287" s="1"/>
      <c r="AH287" s="1"/>
    </row>
    <row r="288" spans="8:34" x14ac:dyDescent="0.35"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>
        <f t="shared" si="45"/>
        <v>233</v>
      </c>
      <c r="V288" s="95">
        <f t="shared" si="46"/>
        <v>34346255.055964097</v>
      </c>
      <c r="W288" s="95">
        <f t="shared" si="47"/>
        <v>150000.00290000183</v>
      </c>
      <c r="X288" s="95">
        <f t="shared" si="48"/>
        <v>34196255.053064093</v>
      </c>
      <c r="Y288" s="95">
        <f t="shared" si="49"/>
        <v>34520736.236400805</v>
      </c>
      <c r="Z288" s="1"/>
      <c r="AA288" s="1"/>
      <c r="AB288" s="1"/>
      <c r="AC288" s="1"/>
      <c r="AD288" s="1"/>
      <c r="AE288" s="1"/>
      <c r="AF288" s="1"/>
      <c r="AG288" s="1"/>
      <c r="AH288" s="1"/>
    </row>
    <row r="289" spans="8:34" x14ac:dyDescent="0.35"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>
        <f t="shared" si="45"/>
        <v>234</v>
      </c>
      <c r="V289" s="95">
        <f t="shared" si="46"/>
        <v>34520736.236400805</v>
      </c>
      <c r="W289" s="95">
        <f t="shared" si="47"/>
        <v>150000.00291250183</v>
      </c>
      <c r="X289" s="95">
        <f t="shared" si="48"/>
        <v>34370736.233488306</v>
      </c>
      <c r="Y289" s="95">
        <f t="shared" si="49"/>
        <v>34696873.032617047</v>
      </c>
      <c r="Z289" s="1"/>
      <c r="AA289" s="1"/>
      <c r="AB289" s="1"/>
      <c r="AC289" s="1"/>
      <c r="AD289" s="1"/>
      <c r="AE289" s="1"/>
      <c r="AF289" s="1"/>
      <c r="AG289" s="1"/>
      <c r="AH289" s="1"/>
    </row>
    <row r="290" spans="8:34" x14ac:dyDescent="0.35"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>
        <f t="shared" si="45"/>
        <v>235</v>
      </c>
      <c r="V290" s="95">
        <f t="shared" si="46"/>
        <v>34696873.032617047</v>
      </c>
      <c r="W290" s="95">
        <f t="shared" si="47"/>
        <v>150000.00292500184</v>
      </c>
      <c r="X290" s="95">
        <f t="shared" si="48"/>
        <v>34546873.029692046</v>
      </c>
      <c r="Y290" s="95">
        <f t="shared" si="49"/>
        <v>34874681.154408127</v>
      </c>
      <c r="Z290" s="1"/>
      <c r="AA290" s="1"/>
      <c r="AB290" s="1"/>
      <c r="AC290" s="1"/>
      <c r="AD290" s="1"/>
      <c r="AE290" s="1"/>
      <c r="AF290" s="1"/>
      <c r="AG290" s="1"/>
      <c r="AH290" s="1"/>
    </row>
    <row r="291" spans="8:34" x14ac:dyDescent="0.35"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>
        <f t="shared" si="45"/>
        <v>236</v>
      </c>
      <c r="V291" s="95">
        <f t="shared" si="46"/>
        <v>34874681.154408127</v>
      </c>
      <c r="W291" s="95">
        <f t="shared" si="47"/>
        <v>150000.00293750185</v>
      </c>
      <c r="X291" s="95">
        <f t="shared" si="48"/>
        <v>34724681.151470624</v>
      </c>
      <c r="Y291" s="95">
        <f t="shared" si="49"/>
        <v>35054176.460636348</v>
      </c>
      <c r="Z291" s="1"/>
      <c r="AA291" s="1"/>
      <c r="AB291" s="1"/>
      <c r="AC291" s="1"/>
      <c r="AD291" s="1"/>
      <c r="AE291" s="1"/>
      <c r="AF291" s="1"/>
      <c r="AG291" s="1"/>
      <c r="AH291" s="1"/>
    </row>
    <row r="292" spans="8:34" x14ac:dyDescent="0.35"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>
        <f t="shared" si="45"/>
        <v>237</v>
      </c>
      <c r="V292" s="95">
        <f t="shared" si="46"/>
        <v>35054176.460636348</v>
      </c>
      <c r="W292" s="95">
        <f t="shared" si="47"/>
        <v>150000.00295000186</v>
      </c>
      <c r="X292" s="95">
        <f t="shared" si="48"/>
        <v>34904176.457686342</v>
      </c>
      <c r="Y292" s="95">
        <f t="shared" si="49"/>
        <v>35235374.960645474</v>
      </c>
      <c r="Z292" s="1"/>
      <c r="AA292" s="1"/>
      <c r="AB292" s="1"/>
      <c r="AC292" s="1"/>
      <c r="AD292" s="1"/>
      <c r="AE292" s="1"/>
      <c r="AF292" s="1"/>
      <c r="AG292" s="1"/>
      <c r="AH292" s="1"/>
    </row>
    <row r="293" spans="8:34" x14ac:dyDescent="0.35"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>
        <f t="shared" si="45"/>
        <v>238</v>
      </c>
      <c r="V293" s="95">
        <f t="shared" si="46"/>
        <v>35235374.960645474</v>
      </c>
      <c r="W293" s="95">
        <f t="shared" si="47"/>
        <v>150000.00296250187</v>
      </c>
      <c r="X293" s="95">
        <f t="shared" si="48"/>
        <v>35085374.957682975</v>
      </c>
      <c r="Y293" s="95">
        <f t="shared" si="49"/>
        <v>35418292.815688632</v>
      </c>
      <c r="Z293" s="1"/>
      <c r="AA293" s="1"/>
      <c r="AB293" s="1"/>
      <c r="AC293" s="1"/>
      <c r="AD293" s="1"/>
      <c r="AE293" s="1"/>
      <c r="AF293" s="1"/>
      <c r="AG293" s="1"/>
      <c r="AH293" s="1"/>
    </row>
    <row r="294" spans="8:34" x14ac:dyDescent="0.35"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>
        <f t="shared" si="45"/>
        <v>239</v>
      </c>
      <c r="V294" s="95">
        <f t="shared" si="46"/>
        <v>35418292.815688632</v>
      </c>
      <c r="W294" s="95">
        <f t="shared" si="47"/>
        <v>150000.00297500187</v>
      </c>
      <c r="X294" s="95">
        <f t="shared" si="48"/>
        <v>35268292.81271363</v>
      </c>
      <c r="Y294" s="95">
        <f t="shared" si="49"/>
        <v>35602946.340369716</v>
      </c>
      <c r="Z294" s="1"/>
      <c r="AA294" s="1"/>
      <c r="AB294" s="1"/>
      <c r="AC294" s="1"/>
      <c r="AD294" s="1"/>
      <c r="AE294" s="1"/>
      <c r="AF294" s="1"/>
      <c r="AG294" s="1"/>
      <c r="AH294" s="1"/>
    </row>
    <row r="295" spans="8:34" x14ac:dyDescent="0.35"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>
        <f t="shared" si="45"/>
        <v>240</v>
      </c>
      <c r="V295" s="95">
        <f t="shared" si="46"/>
        <v>35602946.340369716</v>
      </c>
      <c r="W295" s="95">
        <f t="shared" si="47"/>
        <v>150000.00298750188</v>
      </c>
      <c r="X295" s="95">
        <f t="shared" si="48"/>
        <v>35452946.337382212</v>
      </c>
      <c r="Y295" s="95">
        <f t="shared" si="49"/>
        <v>35789352.00409852</v>
      </c>
      <c r="Z295" s="1"/>
      <c r="AA295" s="1"/>
      <c r="AB295" s="1"/>
      <c r="AC295" s="1"/>
      <c r="AD295" s="1"/>
      <c r="AE295" s="1"/>
      <c r="AF295" s="1"/>
      <c r="AG295" s="1"/>
      <c r="AH295" s="1"/>
    </row>
    <row r="296" spans="8:34" x14ac:dyDescent="0.35"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>
        <f t="shared" si="45"/>
        <v>241</v>
      </c>
      <c r="V296" s="95">
        <f t="shared" si="46"/>
        <v>35789352.00409852</v>
      </c>
      <c r="W296" s="95">
        <f t="shared" si="47"/>
        <v>150000.00300000189</v>
      </c>
      <c r="X296" s="95">
        <f t="shared" si="48"/>
        <v>35639352.001098521</v>
      </c>
      <c r="Y296" s="95">
        <f t="shared" si="49"/>
        <v>35977526.432559662</v>
      </c>
      <c r="Z296" s="1"/>
      <c r="AA296" s="1"/>
      <c r="AB296" s="1"/>
      <c r="AC296" s="1"/>
      <c r="AD296" s="1"/>
      <c r="AE296" s="1"/>
      <c r="AF296" s="1"/>
      <c r="AG296" s="1"/>
      <c r="AH296" s="1"/>
    </row>
    <row r="297" spans="8:34" x14ac:dyDescent="0.35"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>
        <f t="shared" si="45"/>
        <v>242</v>
      </c>
      <c r="V297" s="95">
        <f t="shared" si="46"/>
        <v>35977526.432559662</v>
      </c>
      <c r="W297" s="95">
        <f t="shared" si="47"/>
        <v>150000.0030125019</v>
      </c>
      <c r="X297" s="95">
        <f t="shared" si="48"/>
        <v>35827526.429547161</v>
      </c>
      <c r="Y297" s="95">
        <f t="shared" si="49"/>
        <v>36167486.409195438</v>
      </c>
      <c r="Z297" s="1"/>
      <c r="AA297" s="1"/>
      <c r="AB297" s="1"/>
      <c r="AC297" s="1"/>
      <c r="AD297" s="1"/>
      <c r="AE297" s="1"/>
      <c r="AF297" s="1"/>
      <c r="AG297" s="1"/>
      <c r="AH297" s="1"/>
    </row>
    <row r="298" spans="8:34" x14ac:dyDescent="0.35"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>
        <f t="shared" si="45"/>
        <v>243</v>
      </c>
      <c r="V298" s="95">
        <f t="shared" si="46"/>
        <v>36167486.409195438</v>
      </c>
      <c r="W298" s="95">
        <f t="shared" si="47"/>
        <v>150000.0030250019</v>
      </c>
      <c r="X298" s="95">
        <f t="shared" si="48"/>
        <v>36017486.406170435</v>
      </c>
      <c r="Y298" s="95">
        <f t="shared" si="49"/>
        <v>36359248.876702748</v>
      </c>
      <c r="Z298" s="1"/>
      <c r="AA298" s="1"/>
      <c r="AB298" s="1"/>
      <c r="AC298" s="1"/>
      <c r="AD298" s="1"/>
      <c r="AE298" s="1"/>
      <c r="AF298" s="1"/>
      <c r="AG298" s="1"/>
      <c r="AH298" s="1"/>
    </row>
    <row r="299" spans="8:34" x14ac:dyDescent="0.35"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>
        <f t="shared" si="45"/>
        <v>244</v>
      </c>
      <c r="V299" s="95">
        <f t="shared" si="46"/>
        <v>36359248.876702748</v>
      </c>
      <c r="W299" s="95">
        <f t="shared" si="47"/>
        <v>150000.00303750191</v>
      </c>
      <c r="X299" s="95">
        <f t="shared" si="48"/>
        <v>36209248.873665243</v>
      </c>
      <c r="Y299" s="95">
        <f t="shared" si="49"/>
        <v>36552830.938544236</v>
      </c>
      <c r="Z299" s="1"/>
      <c r="AA299" s="1"/>
      <c r="AB299" s="1"/>
      <c r="AC299" s="1"/>
      <c r="AD299" s="1"/>
      <c r="AE299" s="1"/>
      <c r="AF299" s="1"/>
      <c r="AG299" s="1"/>
      <c r="AH299" s="1"/>
    </row>
    <row r="300" spans="8:34" x14ac:dyDescent="0.35"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>
        <f t="shared" si="45"/>
        <v>245</v>
      </c>
      <c r="V300" s="95">
        <f t="shared" si="46"/>
        <v>36552830.938544236</v>
      </c>
      <c r="W300" s="95">
        <f t="shared" si="47"/>
        <v>150000.00305000192</v>
      </c>
      <c r="X300" s="95">
        <f t="shared" si="48"/>
        <v>36402830.935494237</v>
      </c>
      <c r="Y300" s="95">
        <f t="shared" si="49"/>
        <v>36748249.860473774</v>
      </c>
      <c r="Z300" s="1"/>
      <c r="AA300" s="1"/>
      <c r="AB300" s="1"/>
      <c r="AC300" s="1"/>
      <c r="AD300" s="1"/>
      <c r="AE300" s="1"/>
      <c r="AF300" s="1"/>
      <c r="AG300" s="1"/>
      <c r="AH300" s="1"/>
    </row>
    <row r="301" spans="8:34" x14ac:dyDescent="0.35"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>
        <f t="shared" si="45"/>
        <v>246</v>
      </c>
      <c r="V301" s="95">
        <f t="shared" si="46"/>
        <v>36748249.860473774</v>
      </c>
      <c r="W301" s="95">
        <f t="shared" si="47"/>
        <v>150000.00306250193</v>
      </c>
      <c r="X301" s="95">
        <f t="shared" si="48"/>
        <v>36598249.857411273</v>
      </c>
      <c r="Y301" s="95">
        <f t="shared" si="49"/>
        <v>36945523.07207638</v>
      </c>
      <c r="Z301" s="1"/>
      <c r="AA301" s="1"/>
      <c r="AB301" s="1"/>
      <c r="AC301" s="1"/>
      <c r="AD301" s="1"/>
      <c r="AE301" s="1"/>
      <c r="AF301" s="1"/>
      <c r="AG301" s="1"/>
      <c r="AH301" s="1"/>
    </row>
    <row r="302" spans="8:34" x14ac:dyDescent="0.35"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>
        <f t="shared" si="45"/>
        <v>247</v>
      </c>
      <c r="V302" s="95">
        <f t="shared" si="46"/>
        <v>36945523.07207638</v>
      </c>
      <c r="W302" s="95">
        <f t="shared" si="47"/>
        <v>150000.00307500194</v>
      </c>
      <c r="X302" s="95">
        <f t="shared" si="48"/>
        <v>36795523.069001377</v>
      </c>
      <c r="Y302" s="95">
        <f t="shared" si="49"/>
        <v>37144668.168322802</v>
      </c>
      <c r="Z302" s="1"/>
      <c r="AA302" s="1"/>
      <c r="AB302" s="1"/>
      <c r="AC302" s="1"/>
      <c r="AD302" s="1"/>
      <c r="AE302" s="1"/>
      <c r="AF302" s="1"/>
      <c r="AG302" s="1"/>
      <c r="AH302" s="1"/>
    </row>
    <row r="303" spans="8:34" x14ac:dyDescent="0.35"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>
        <f t="shared" si="45"/>
        <v>248</v>
      </c>
      <c r="V303" s="95">
        <f t="shared" si="46"/>
        <v>37144668.168322802</v>
      </c>
      <c r="W303" s="95">
        <f t="shared" si="47"/>
        <v>150000.00308750194</v>
      </c>
      <c r="X303" s="95">
        <f t="shared" si="48"/>
        <v>36994668.165235303</v>
      </c>
      <c r="Y303" s="95">
        <f t="shared" si="49"/>
        <v>37345702.911138833</v>
      </c>
      <c r="Z303" s="1"/>
      <c r="AA303" s="1"/>
      <c r="AB303" s="1"/>
      <c r="AC303" s="1"/>
      <c r="AD303" s="1"/>
      <c r="AE303" s="1"/>
      <c r="AF303" s="1"/>
      <c r="AG303" s="1"/>
      <c r="AH303" s="1"/>
    </row>
    <row r="304" spans="8:34" x14ac:dyDescent="0.35"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>
        <f t="shared" si="45"/>
        <v>249</v>
      </c>
      <c r="V304" s="95">
        <f t="shared" si="46"/>
        <v>37345702.911138833</v>
      </c>
      <c r="W304" s="95">
        <f t="shared" si="47"/>
        <v>150000.00310000195</v>
      </c>
      <c r="X304" s="95">
        <f t="shared" si="48"/>
        <v>37195702.908038832</v>
      </c>
      <c r="Y304" s="95">
        <f t="shared" si="49"/>
        <v>37548645.230989479</v>
      </c>
      <c r="Z304" s="1"/>
      <c r="AA304" s="1"/>
      <c r="AB304" s="1"/>
      <c r="AC304" s="1"/>
      <c r="AD304" s="1"/>
      <c r="AE304" s="1"/>
      <c r="AF304" s="1"/>
      <c r="AG304" s="1"/>
      <c r="AH304" s="1"/>
    </row>
    <row r="305" spans="8:34" x14ac:dyDescent="0.35"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>
        <f t="shared" si="45"/>
        <v>250</v>
      </c>
      <c r="V305" s="95">
        <f t="shared" si="46"/>
        <v>37548645.230989479</v>
      </c>
      <c r="W305" s="95">
        <f t="shared" si="47"/>
        <v>150000.00311250196</v>
      </c>
      <c r="X305" s="95">
        <f t="shared" si="48"/>
        <v>37398645.227876976</v>
      </c>
      <c r="Y305" s="95">
        <f t="shared" si="49"/>
        <v>37753513.228478231</v>
      </c>
      <c r="Z305" s="1"/>
      <c r="AA305" s="1"/>
      <c r="AB305" s="1"/>
      <c r="AC305" s="1"/>
      <c r="AD305" s="1"/>
      <c r="AE305" s="1"/>
      <c r="AF305" s="1"/>
      <c r="AG305" s="1"/>
      <c r="AH305" s="1"/>
    </row>
    <row r="306" spans="8:34" x14ac:dyDescent="0.35"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>
        <f t="shared" si="45"/>
        <v>251</v>
      </c>
      <c r="V306" s="95">
        <f t="shared" si="46"/>
        <v>37753513.228478231</v>
      </c>
      <c r="W306" s="95">
        <f t="shared" si="47"/>
        <v>150000.00312500197</v>
      </c>
      <c r="X306" s="95">
        <f t="shared" si="48"/>
        <v>37603513.225353226</v>
      </c>
      <c r="Y306" s="95">
        <f t="shared" si="49"/>
        <v>37960325.175961457</v>
      </c>
      <c r="Z306" s="1"/>
      <c r="AA306" s="1"/>
      <c r="AB306" s="1"/>
      <c r="AC306" s="1"/>
      <c r="AD306" s="1"/>
      <c r="AE306" s="1"/>
      <c r="AF306" s="1"/>
      <c r="AG306" s="1"/>
      <c r="AH306" s="1"/>
    </row>
    <row r="307" spans="8:34" x14ac:dyDescent="0.35"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>
        <f t="shared" si="45"/>
        <v>252</v>
      </c>
      <c r="V307" s="95">
        <f t="shared" si="46"/>
        <v>37960325.175961457</v>
      </c>
      <c r="W307" s="95">
        <f t="shared" si="47"/>
        <v>150000.00313750198</v>
      </c>
      <c r="X307" s="95">
        <f t="shared" si="48"/>
        <v>37810325.172823958</v>
      </c>
      <c r="Y307" s="95">
        <f t="shared" si="49"/>
        <v>38169099.519178137</v>
      </c>
      <c r="Z307" s="1"/>
      <c r="AA307" s="1"/>
      <c r="AB307" s="1"/>
      <c r="AC307" s="1"/>
      <c r="AD307" s="1"/>
      <c r="AE307" s="1"/>
      <c r="AF307" s="1"/>
      <c r="AG307" s="1"/>
      <c r="AH307" s="1"/>
    </row>
    <row r="308" spans="8:34" x14ac:dyDescent="0.35"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>
        <f t="shared" si="45"/>
        <v>253</v>
      </c>
      <c r="V308" s="95">
        <f t="shared" si="46"/>
        <v>38169099.519178137</v>
      </c>
      <c r="W308" s="95">
        <f t="shared" si="47"/>
        <v>150000.00315000198</v>
      </c>
      <c r="X308" s="95">
        <f t="shared" si="48"/>
        <v>38019099.516028136</v>
      </c>
      <c r="Y308" s="95">
        <f t="shared" si="49"/>
        <v>38379854.878895037</v>
      </c>
      <c r="Z308" s="1"/>
      <c r="AA308" s="1"/>
      <c r="AB308" s="1"/>
      <c r="AC308" s="1"/>
      <c r="AD308" s="1"/>
      <c r="AE308" s="1"/>
      <c r="AF308" s="1"/>
      <c r="AG308" s="1"/>
      <c r="AH308" s="1"/>
    </row>
    <row r="309" spans="8:34" x14ac:dyDescent="0.35"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>
        <f t="shared" si="45"/>
        <v>254</v>
      </c>
      <c r="V309" s="95">
        <f t="shared" si="46"/>
        <v>38379854.878895037</v>
      </c>
      <c r="W309" s="95">
        <f t="shared" si="47"/>
        <v>150000.00316250199</v>
      </c>
      <c r="X309" s="95">
        <f t="shared" si="48"/>
        <v>38229854.875732534</v>
      </c>
      <c r="Y309" s="95">
        <f t="shared" si="49"/>
        <v>38592610.052567519</v>
      </c>
      <c r="Z309" s="1"/>
      <c r="AA309" s="1"/>
      <c r="AB309" s="1"/>
      <c r="AC309" s="1"/>
      <c r="AD309" s="1"/>
      <c r="AE309" s="1"/>
      <c r="AF309" s="1"/>
      <c r="AG309" s="1"/>
      <c r="AH309" s="1"/>
    </row>
    <row r="310" spans="8:34" x14ac:dyDescent="0.35"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>
        <f t="shared" si="45"/>
        <v>255</v>
      </c>
      <c r="V310" s="95">
        <f t="shared" si="46"/>
        <v>38592610.052567519</v>
      </c>
      <c r="W310" s="95">
        <f t="shared" si="47"/>
        <v>150000.003175002</v>
      </c>
      <c r="X310" s="95">
        <f t="shared" si="48"/>
        <v>38442610.049392514</v>
      </c>
      <c r="Y310" s="95">
        <f t="shared" si="49"/>
        <v>38807384.016016118</v>
      </c>
      <c r="Z310" s="1"/>
      <c r="AA310" s="1"/>
      <c r="AB310" s="1"/>
      <c r="AC310" s="1"/>
      <c r="AD310" s="1"/>
      <c r="AE310" s="1"/>
      <c r="AF310" s="1"/>
      <c r="AG310" s="1"/>
      <c r="AH310" s="1"/>
    </row>
    <row r="311" spans="8:34" x14ac:dyDescent="0.35"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>
        <f t="shared" si="45"/>
        <v>256</v>
      </c>
      <c r="V311" s="95">
        <f t="shared" si="46"/>
        <v>38807384.016016118</v>
      </c>
      <c r="W311" s="95">
        <f t="shared" si="47"/>
        <v>150000.00318750201</v>
      </c>
      <c r="X311" s="95">
        <f t="shared" si="48"/>
        <v>38657384.012828618</v>
      </c>
      <c r="Y311" s="95">
        <f t="shared" si="49"/>
        <v>39024195.925119013</v>
      </c>
      <c r="Z311" s="1"/>
      <c r="AA311" s="1"/>
      <c r="AB311" s="1"/>
      <c r="AC311" s="1"/>
      <c r="AD311" s="1"/>
      <c r="AE311" s="1"/>
      <c r="AF311" s="1"/>
      <c r="AG311" s="1"/>
      <c r="AH311" s="1"/>
    </row>
    <row r="312" spans="8:34" x14ac:dyDescent="0.35"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>
        <f t="shared" si="45"/>
        <v>257</v>
      </c>
      <c r="V312" s="95">
        <f t="shared" si="46"/>
        <v>39024195.925119013</v>
      </c>
      <c r="W312" s="95">
        <f t="shared" si="47"/>
        <v>150000.00320000201</v>
      </c>
      <c r="X312" s="95">
        <f t="shared" si="48"/>
        <v>38874195.921919011</v>
      </c>
      <c r="Y312" s="95">
        <f t="shared" si="49"/>
        <v>39243065.117520511</v>
      </c>
      <c r="Z312" s="1"/>
      <c r="AA312" s="1"/>
      <c r="AB312" s="1"/>
      <c r="AC312" s="1"/>
      <c r="AD312" s="1"/>
      <c r="AE312" s="1"/>
      <c r="AF312" s="1"/>
      <c r="AG312" s="1"/>
      <c r="AH312" s="1"/>
    </row>
    <row r="313" spans="8:34" x14ac:dyDescent="0.35"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>
        <f t="shared" si="45"/>
        <v>258</v>
      </c>
      <c r="V313" s="95">
        <f t="shared" si="46"/>
        <v>39243065.117520511</v>
      </c>
      <c r="W313" s="95">
        <f t="shared" si="47"/>
        <v>150000.00321250202</v>
      </c>
      <c r="X313" s="95">
        <f t="shared" si="48"/>
        <v>39093065.114308007</v>
      </c>
      <c r="Y313" s="95">
        <f t="shared" si="49"/>
        <v>39464011.114355847</v>
      </c>
      <c r="Z313" s="1"/>
      <c r="AA313" s="1"/>
      <c r="AB313" s="1"/>
      <c r="AC313" s="1"/>
      <c r="AD313" s="1"/>
      <c r="AE313" s="1"/>
      <c r="AF313" s="1"/>
      <c r="AG313" s="1"/>
      <c r="AH313" s="1"/>
    </row>
    <row r="314" spans="8:34" x14ac:dyDescent="0.35"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>
        <f t="shared" ref="U314:U377" si="50">U313+1</f>
        <v>259</v>
      </c>
      <c r="V314" s="95">
        <f t="shared" ref="V314:V377" si="51">Y313</f>
        <v>39464011.114355847</v>
      </c>
      <c r="W314" s="95">
        <f t="shared" ref="W314:W377" si="52">W313+W313*($F$15/12)</f>
        <v>150000.00322500203</v>
      </c>
      <c r="X314" s="95">
        <f t="shared" ref="X314:X377" si="53">V314-W314</f>
        <v>39314011.111130849</v>
      </c>
      <c r="Y314" s="95">
        <f t="shared" ref="Y314:Y377" si="54">X314+(X314*($K$9/12))</f>
        <v>39687053.621992268</v>
      </c>
      <c r="Z314" s="1"/>
      <c r="AA314" s="1"/>
      <c r="AB314" s="1"/>
      <c r="AC314" s="1"/>
      <c r="AD314" s="1"/>
      <c r="AE314" s="1"/>
      <c r="AF314" s="1"/>
      <c r="AG314" s="1"/>
      <c r="AH314" s="1"/>
    </row>
    <row r="315" spans="8:34" x14ac:dyDescent="0.35"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>
        <f t="shared" si="50"/>
        <v>260</v>
      </c>
      <c r="V315" s="95">
        <f t="shared" si="51"/>
        <v>39687053.621992268</v>
      </c>
      <c r="W315" s="95">
        <f t="shared" si="52"/>
        <v>150000.00323750204</v>
      </c>
      <c r="X315" s="95">
        <f t="shared" si="53"/>
        <v>39537053.618754767</v>
      </c>
      <c r="Y315" s="95">
        <f t="shared" si="54"/>
        <v>39912212.53378664</v>
      </c>
      <c r="Z315" s="1"/>
      <c r="AA315" s="1"/>
      <c r="AB315" s="1"/>
      <c r="AC315" s="1"/>
      <c r="AD315" s="1"/>
      <c r="AE315" s="1"/>
      <c r="AF315" s="1"/>
      <c r="AG315" s="1"/>
      <c r="AH315" s="1"/>
    </row>
    <row r="316" spans="8:34" x14ac:dyDescent="0.35"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>
        <f t="shared" si="50"/>
        <v>261</v>
      </c>
      <c r="V316" s="95">
        <f t="shared" si="51"/>
        <v>39912212.53378664</v>
      </c>
      <c r="W316" s="95">
        <f t="shared" si="52"/>
        <v>150000.00325000205</v>
      </c>
      <c r="X316" s="95">
        <f t="shared" si="53"/>
        <v>39762212.530536637</v>
      </c>
      <c r="Y316" s="95">
        <f t="shared" si="54"/>
        <v>40139507.931859784</v>
      </c>
      <c r="Z316" s="1"/>
      <c r="AA316" s="1"/>
      <c r="AB316" s="1"/>
      <c r="AC316" s="1"/>
      <c r="AD316" s="1"/>
      <c r="AE316" s="1"/>
      <c r="AF316" s="1"/>
      <c r="AG316" s="1"/>
      <c r="AH316" s="1"/>
    </row>
    <row r="317" spans="8:34" x14ac:dyDescent="0.35"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>
        <f t="shared" si="50"/>
        <v>262</v>
      </c>
      <c r="V317" s="95">
        <f t="shared" si="51"/>
        <v>40139507.931859784</v>
      </c>
      <c r="W317" s="95">
        <f t="shared" si="52"/>
        <v>150000.00326250205</v>
      </c>
      <c r="X317" s="95">
        <f t="shared" si="53"/>
        <v>39989507.928597279</v>
      </c>
      <c r="Y317" s="95">
        <f t="shared" si="54"/>
        <v>40368960.088887602</v>
      </c>
      <c r="Z317" s="1"/>
      <c r="AA317" s="1"/>
      <c r="AB317" s="1"/>
      <c r="AC317" s="1"/>
      <c r="AD317" s="1"/>
      <c r="AE317" s="1"/>
      <c r="AF317" s="1"/>
      <c r="AG317" s="1"/>
      <c r="AH317" s="1"/>
    </row>
    <row r="318" spans="8:34" x14ac:dyDescent="0.35"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>
        <f t="shared" si="50"/>
        <v>263</v>
      </c>
      <c r="V318" s="95">
        <f t="shared" si="51"/>
        <v>40368960.088887602</v>
      </c>
      <c r="W318" s="95">
        <f t="shared" si="52"/>
        <v>150000.00327500206</v>
      </c>
      <c r="X318" s="95">
        <f t="shared" si="53"/>
        <v>40218960.085612603</v>
      </c>
      <c r="Y318" s="95">
        <f t="shared" si="54"/>
        <v>40600589.469909243</v>
      </c>
      <c r="Z318" s="1"/>
      <c r="AA318" s="1"/>
      <c r="AB318" s="1"/>
      <c r="AC318" s="1"/>
      <c r="AD318" s="1"/>
      <c r="AE318" s="1"/>
      <c r="AF318" s="1"/>
      <c r="AG318" s="1"/>
      <c r="AH318" s="1"/>
    </row>
    <row r="319" spans="8:34" x14ac:dyDescent="0.35"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>
        <f t="shared" si="50"/>
        <v>264</v>
      </c>
      <c r="V319" s="95">
        <f t="shared" si="51"/>
        <v>40600589.469909243</v>
      </c>
      <c r="W319" s="95">
        <f t="shared" si="52"/>
        <v>150000.00328750207</v>
      </c>
      <c r="X319" s="95">
        <f t="shared" si="53"/>
        <v>40450589.466621742</v>
      </c>
      <c r="Y319" s="95">
        <f t="shared" si="54"/>
        <v>40834416.734152339</v>
      </c>
      <c r="Z319" s="1"/>
      <c r="AA319" s="1"/>
      <c r="AB319" s="1"/>
      <c r="AC319" s="1"/>
      <c r="AD319" s="1"/>
      <c r="AE319" s="1"/>
      <c r="AF319" s="1"/>
      <c r="AG319" s="1"/>
      <c r="AH319" s="1"/>
    </row>
    <row r="320" spans="8:34" x14ac:dyDescent="0.35"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>
        <f t="shared" si="50"/>
        <v>265</v>
      </c>
      <c r="V320" s="95">
        <f t="shared" si="51"/>
        <v>40834416.734152339</v>
      </c>
      <c r="W320" s="95">
        <f t="shared" si="52"/>
        <v>150000.00330000208</v>
      </c>
      <c r="X320" s="95">
        <f t="shared" si="53"/>
        <v>40684416.730852336</v>
      </c>
      <c r="Y320" s="95">
        <f t="shared" si="54"/>
        <v>41070462.736875683</v>
      </c>
      <c r="Z320" s="1"/>
      <c r="AA320" s="1"/>
      <c r="AB320" s="1"/>
      <c r="AC320" s="1"/>
      <c r="AD320" s="1"/>
      <c r="AE320" s="1"/>
      <c r="AF320" s="1"/>
      <c r="AG320" s="1"/>
      <c r="AH320" s="1"/>
    </row>
    <row r="321" spans="8:34" x14ac:dyDescent="0.35"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>
        <f t="shared" si="50"/>
        <v>266</v>
      </c>
      <c r="V321" s="95">
        <f t="shared" si="51"/>
        <v>41070462.736875683</v>
      </c>
      <c r="W321" s="95">
        <f t="shared" si="52"/>
        <v>150000.00331250209</v>
      </c>
      <c r="X321" s="95">
        <f t="shared" si="53"/>
        <v>40920462.733563177</v>
      </c>
      <c r="Y321" s="95">
        <f t="shared" si="54"/>
        <v>41308748.53122928</v>
      </c>
      <c r="Z321" s="1"/>
      <c r="AA321" s="1"/>
      <c r="AB321" s="1"/>
      <c r="AC321" s="1"/>
      <c r="AD321" s="1"/>
      <c r="AE321" s="1"/>
      <c r="AF321" s="1"/>
      <c r="AG321" s="1"/>
      <c r="AH321" s="1"/>
    </row>
    <row r="322" spans="8:34" x14ac:dyDescent="0.35"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>
        <f t="shared" si="50"/>
        <v>267</v>
      </c>
      <c r="V322" s="95">
        <f t="shared" si="51"/>
        <v>41308748.53122928</v>
      </c>
      <c r="W322" s="95">
        <f t="shared" si="52"/>
        <v>150000.00332500209</v>
      </c>
      <c r="X322" s="95">
        <f t="shared" si="53"/>
        <v>41158748.52790428</v>
      </c>
      <c r="Y322" s="95">
        <f t="shared" si="54"/>
        <v>41549295.370132141</v>
      </c>
      <c r="Z322" s="1"/>
      <c r="AA322" s="1"/>
      <c r="AB322" s="1"/>
      <c r="AC322" s="1"/>
      <c r="AD322" s="1"/>
      <c r="AE322" s="1"/>
      <c r="AF322" s="1"/>
      <c r="AG322" s="1"/>
      <c r="AH322" s="1"/>
    </row>
    <row r="323" spans="8:34" x14ac:dyDescent="0.35"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>
        <f t="shared" si="50"/>
        <v>268</v>
      </c>
      <c r="V323" s="95">
        <f t="shared" si="51"/>
        <v>41549295.370132141</v>
      </c>
      <c r="W323" s="95">
        <f t="shared" si="52"/>
        <v>150000.0033375021</v>
      </c>
      <c r="X323" s="95">
        <f t="shared" si="53"/>
        <v>41399295.366794638</v>
      </c>
      <c r="Y323" s="95">
        <f t="shared" si="54"/>
        <v>41792124.708167799</v>
      </c>
      <c r="Z323" s="1"/>
      <c r="AA323" s="1"/>
      <c r="AB323" s="1"/>
      <c r="AC323" s="1"/>
      <c r="AD323" s="1"/>
      <c r="AE323" s="1"/>
      <c r="AF323" s="1"/>
      <c r="AG323" s="1"/>
      <c r="AH323" s="1"/>
    </row>
    <row r="324" spans="8:34" x14ac:dyDescent="0.35"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>
        <f t="shared" si="50"/>
        <v>269</v>
      </c>
      <c r="V324" s="95">
        <f t="shared" si="51"/>
        <v>41792124.708167799</v>
      </c>
      <c r="W324" s="95">
        <f t="shared" si="52"/>
        <v>150000.00335000211</v>
      </c>
      <c r="X324" s="95">
        <f t="shared" si="53"/>
        <v>41642124.704817794</v>
      </c>
      <c r="Y324" s="95">
        <f t="shared" si="54"/>
        <v>42037258.203497894</v>
      </c>
      <c r="Z324" s="1"/>
      <c r="AA324" s="1"/>
      <c r="AB324" s="1"/>
      <c r="AC324" s="1"/>
      <c r="AD324" s="1"/>
      <c r="AE324" s="1"/>
      <c r="AF324" s="1"/>
      <c r="AG324" s="1"/>
      <c r="AH324" s="1"/>
    </row>
    <row r="325" spans="8:34" x14ac:dyDescent="0.35"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>
        <f t="shared" si="50"/>
        <v>270</v>
      </c>
      <c r="V325" s="95">
        <f t="shared" si="51"/>
        <v>42037258.203497894</v>
      </c>
      <c r="W325" s="95">
        <f t="shared" si="52"/>
        <v>150000.00336250212</v>
      </c>
      <c r="X325" s="95">
        <f t="shared" si="53"/>
        <v>41887258.200135395</v>
      </c>
      <c r="Y325" s="95">
        <f t="shared" si="54"/>
        <v>42284717.719793893</v>
      </c>
      <c r="Z325" s="1"/>
      <c r="AA325" s="1"/>
      <c r="AB325" s="1"/>
      <c r="AC325" s="1"/>
      <c r="AD325" s="1"/>
      <c r="AE325" s="1"/>
      <c r="AF325" s="1"/>
      <c r="AG325" s="1"/>
      <c r="AH325" s="1"/>
    </row>
    <row r="326" spans="8:34" x14ac:dyDescent="0.35"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>
        <f t="shared" si="50"/>
        <v>271</v>
      </c>
      <c r="V326" s="95">
        <f t="shared" si="51"/>
        <v>42284717.719793893</v>
      </c>
      <c r="W326" s="95">
        <f t="shared" si="52"/>
        <v>150000.00337500212</v>
      </c>
      <c r="X326" s="95">
        <f t="shared" si="53"/>
        <v>42134717.716418892</v>
      </c>
      <c r="Y326" s="95">
        <f t="shared" si="54"/>
        <v>42534525.328187101</v>
      </c>
      <c r="Z326" s="1"/>
      <c r="AA326" s="1"/>
      <c r="AB326" s="1"/>
      <c r="AC326" s="1"/>
      <c r="AD326" s="1"/>
      <c r="AE326" s="1"/>
      <c r="AF326" s="1"/>
      <c r="AG326" s="1"/>
      <c r="AH326" s="1"/>
    </row>
    <row r="327" spans="8:34" x14ac:dyDescent="0.35"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>
        <f t="shared" si="50"/>
        <v>272</v>
      </c>
      <c r="V327" s="95">
        <f t="shared" si="51"/>
        <v>42534525.328187101</v>
      </c>
      <c r="W327" s="95">
        <f t="shared" si="52"/>
        <v>150000.00338750213</v>
      </c>
      <c r="X327" s="95">
        <f t="shared" si="53"/>
        <v>42384525.324799597</v>
      </c>
      <c r="Y327" s="95">
        <f t="shared" si="54"/>
        <v>42786703.309237212</v>
      </c>
      <c r="Z327" s="1"/>
      <c r="AA327" s="1"/>
      <c r="AB327" s="1"/>
      <c r="AC327" s="1"/>
      <c r="AD327" s="1"/>
      <c r="AE327" s="1"/>
      <c r="AF327" s="1"/>
      <c r="AG327" s="1"/>
      <c r="AH327" s="1"/>
    </row>
    <row r="328" spans="8:34" x14ac:dyDescent="0.35"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>
        <f t="shared" si="50"/>
        <v>273</v>
      </c>
      <c r="V328" s="95">
        <f t="shared" si="51"/>
        <v>42786703.309237212</v>
      </c>
      <c r="W328" s="95">
        <f t="shared" si="52"/>
        <v>150000.00340000214</v>
      </c>
      <c r="X328" s="95">
        <f t="shared" si="53"/>
        <v>42636703.305837207</v>
      </c>
      <c r="Y328" s="95">
        <f t="shared" si="54"/>
        <v>43041274.15491955</v>
      </c>
      <c r="Z328" s="1"/>
      <c r="AA328" s="1"/>
      <c r="AB328" s="1"/>
      <c r="AC328" s="1"/>
      <c r="AD328" s="1"/>
      <c r="AE328" s="1"/>
      <c r="AF328" s="1"/>
      <c r="AG328" s="1"/>
      <c r="AH328" s="1"/>
    </row>
    <row r="329" spans="8:34" x14ac:dyDescent="0.35"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>
        <f t="shared" si="50"/>
        <v>274</v>
      </c>
      <c r="V329" s="95">
        <f t="shared" si="51"/>
        <v>43041274.15491955</v>
      </c>
      <c r="W329" s="95">
        <f t="shared" si="52"/>
        <v>150000.00341250215</v>
      </c>
      <c r="X329" s="95">
        <f t="shared" si="53"/>
        <v>42891274.15150705</v>
      </c>
      <c r="Y329" s="95">
        <f t="shared" si="54"/>
        <v>43298260.570631132</v>
      </c>
      <c r="Z329" s="1"/>
      <c r="AA329" s="1"/>
      <c r="AB329" s="1"/>
      <c r="AC329" s="1"/>
      <c r="AD329" s="1"/>
      <c r="AE329" s="1"/>
      <c r="AF329" s="1"/>
      <c r="AG329" s="1"/>
      <c r="AH329" s="1"/>
    </row>
    <row r="330" spans="8:34" x14ac:dyDescent="0.35"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>
        <f t="shared" si="50"/>
        <v>275</v>
      </c>
      <c r="V330" s="95">
        <f t="shared" si="51"/>
        <v>43298260.570631132</v>
      </c>
      <c r="W330" s="95">
        <f t="shared" si="52"/>
        <v>150000.00342500216</v>
      </c>
      <c r="X330" s="95">
        <f t="shared" si="53"/>
        <v>43148260.567206129</v>
      </c>
      <c r="Y330" s="95">
        <f t="shared" si="54"/>
        <v>43557685.477215782</v>
      </c>
      <c r="Z330" s="1"/>
      <c r="AA330" s="1"/>
      <c r="AB330" s="1"/>
      <c r="AC330" s="1"/>
      <c r="AD330" s="1"/>
      <c r="AE330" s="1"/>
      <c r="AF330" s="1"/>
      <c r="AG330" s="1"/>
      <c r="AH330" s="1"/>
    </row>
    <row r="331" spans="8:34" x14ac:dyDescent="0.35"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>
        <f t="shared" si="50"/>
        <v>276</v>
      </c>
      <c r="V331" s="95">
        <f t="shared" si="51"/>
        <v>43557685.477215782</v>
      </c>
      <c r="W331" s="95">
        <f t="shared" si="52"/>
        <v>150000.00343750216</v>
      </c>
      <c r="X331" s="95">
        <f t="shared" si="53"/>
        <v>43407685.473778278</v>
      </c>
      <c r="Y331" s="95">
        <f t="shared" si="54"/>
        <v>43819572.013008468</v>
      </c>
      <c r="Z331" s="1"/>
      <c r="AA331" s="1"/>
      <c r="AB331" s="1"/>
      <c r="AC331" s="1"/>
      <c r="AD331" s="1"/>
      <c r="AE331" s="1"/>
      <c r="AF331" s="1"/>
      <c r="AG331" s="1"/>
      <c r="AH331" s="1"/>
    </row>
    <row r="332" spans="8:34" x14ac:dyDescent="0.35"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>
        <f t="shared" si="50"/>
        <v>277</v>
      </c>
      <c r="V332" s="95">
        <f t="shared" si="51"/>
        <v>43819572.013008468</v>
      </c>
      <c r="W332" s="95">
        <f t="shared" si="52"/>
        <v>150000.00345000217</v>
      </c>
      <c r="X332" s="95">
        <f t="shared" si="53"/>
        <v>43669572.009558469</v>
      </c>
      <c r="Y332" s="95">
        <f t="shared" si="54"/>
        <v>44083943.535899036</v>
      </c>
      <c r="Z332" s="1"/>
      <c r="AA332" s="1"/>
      <c r="AB332" s="1"/>
      <c r="AC332" s="1"/>
      <c r="AD332" s="1"/>
      <c r="AE332" s="1"/>
      <c r="AF332" s="1"/>
      <c r="AG332" s="1"/>
      <c r="AH332" s="1"/>
    </row>
    <row r="333" spans="8:34" x14ac:dyDescent="0.35"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>
        <f t="shared" si="50"/>
        <v>278</v>
      </c>
      <c r="V333" s="95">
        <f t="shared" si="51"/>
        <v>44083943.535899036</v>
      </c>
      <c r="W333" s="95">
        <f t="shared" si="52"/>
        <v>150000.00346250218</v>
      </c>
      <c r="X333" s="95">
        <f t="shared" si="53"/>
        <v>43933943.532436535</v>
      </c>
      <c r="Y333" s="95">
        <f t="shared" si="54"/>
        <v>44350823.625415489</v>
      </c>
      <c r="Z333" s="1"/>
      <c r="AA333" s="1"/>
      <c r="AB333" s="1"/>
      <c r="AC333" s="1"/>
      <c r="AD333" s="1"/>
      <c r="AE333" s="1"/>
      <c r="AF333" s="1"/>
      <c r="AG333" s="1"/>
      <c r="AH333" s="1"/>
    </row>
    <row r="334" spans="8:34" x14ac:dyDescent="0.35"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>
        <f t="shared" si="50"/>
        <v>279</v>
      </c>
      <c r="V334" s="95">
        <f t="shared" si="51"/>
        <v>44350823.625415489</v>
      </c>
      <c r="W334" s="95">
        <f t="shared" si="52"/>
        <v>150000.00347500219</v>
      </c>
      <c r="X334" s="95">
        <f t="shared" si="53"/>
        <v>44200823.621940486</v>
      </c>
      <c r="Y334" s="95">
        <f t="shared" si="54"/>
        <v>44620236.084827103</v>
      </c>
      <c r="Z334" s="1"/>
      <c r="AA334" s="1"/>
      <c r="AB334" s="1"/>
      <c r="AC334" s="1"/>
      <c r="AD334" s="1"/>
      <c r="AE334" s="1"/>
      <c r="AF334" s="1"/>
      <c r="AG334" s="1"/>
      <c r="AH334" s="1"/>
    </row>
    <row r="335" spans="8:34" x14ac:dyDescent="0.35"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>
        <f t="shared" si="50"/>
        <v>280</v>
      </c>
      <c r="V335" s="95">
        <f t="shared" si="51"/>
        <v>44620236.084827103</v>
      </c>
      <c r="W335" s="95">
        <f t="shared" si="52"/>
        <v>150000.0034875022</v>
      </c>
      <c r="X335" s="95">
        <f t="shared" si="53"/>
        <v>44470236.081339598</v>
      </c>
      <c r="Y335" s="95">
        <f t="shared" si="54"/>
        <v>44892204.94326745</v>
      </c>
      <c r="Z335" s="1"/>
      <c r="AA335" s="1"/>
      <c r="AB335" s="1"/>
      <c r="AC335" s="1"/>
      <c r="AD335" s="1"/>
      <c r="AE335" s="1"/>
      <c r="AF335" s="1"/>
      <c r="AG335" s="1"/>
      <c r="AH335" s="1"/>
    </row>
    <row r="336" spans="8:34" x14ac:dyDescent="0.35"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>
        <f t="shared" si="50"/>
        <v>281</v>
      </c>
      <c r="V336" s="95">
        <f t="shared" si="51"/>
        <v>44892204.94326745</v>
      </c>
      <c r="W336" s="95">
        <f t="shared" si="52"/>
        <v>150000.0035000022</v>
      </c>
      <c r="X336" s="95">
        <f t="shared" si="53"/>
        <v>44742204.93976745</v>
      </c>
      <c r="Y336" s="95">
        <f t="shared" si="54"/>
        <v>45166754.457877584</v>
      </c>
      <c r="Z336" s="1"/>
      <c r="AA336" s="1"/>
      <c r="AB336" s="1"/>
      <c r="AC336" s="1"/>
      <c r="AD336" s="1"/>
      <c r="AE336" s="1"/>
      <c r="AF336" s="1"/>
      <c r="AG336" s="1"/>
      <c r="AH336" s="1"/>
    </row>
    <row r="337" spans="8:34" x14ac:dyDescent="0.35"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>
        <f t="shared" si="50"/>
        <v>282</v>
      </c>
      <c r="V337" s="95">
        <f t="shared" si="51"/>
        <v>45166754.457877584</v>
      </c>
      <c r="W337" s="95">
        <f t="shared" si="52"/>
        <v>150000.00351250221</v>
      </c>
      <c r="X337" s="95">
        <f t="shared" si="53"/>
        <v>45016754.454365082</v>
      </c>
      <c r="Y337" s="95">
        <f t="shared" si="54"/>
        <v>45443909.115969524</v>
      </c>
      <c r="Z337" s="1"/>
      <c r="AA337" s="1"/>
      <c r="AB337" s="1"/>
      <c r="AC337" s="1"/>
      <c r="AD337" s="1"/>
      <c r="AE337" s="1"/>
      <c r="AF337" s="1"/>
      <c r="AG337" s="1"/>
      <c r="AH337" s="1"/>
    </row>
    <row r="338" spans="8:34" x14ac:dyDescent="0.35"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>
        <f t="shared" si="50"/>
        <v>283</v>
      </c>
      <c r="V338" s="95">
        <f t="shared" si="51"/>
        <v>45443909.115969524</v>
      </c>
      <c r="W338" s="95">
        <f t="shared" si="52"/>
        <v>150000.00352500222</v>
      </c>
      <c r="X338" s="95">
        <f t="shared" si="53"/>
        <v>45293909.11244452</v>
      </c>
      <c r="Y338" s="95">
        <f t="shared" si="54"/>
        <v>45723693.637210332</v>
      </c>
      <c r="Z338" s="1"/>
      <c r="AA338" s="1"/>
      <c r="AB338" s="1"/>
      <c r="AC338" s="1"/>
      <c r="AD338" s="1"/>
      <c r="AE338" s="1"/>
      <c r="AF338" s="1"/>
      <c r="AG338" s="1"/>
      <c r="AH338" s="1"/>
    </row>
    <row r="339" spans="8:34" x14ac:dyDescent="0.35"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>
        <f t="shared" si="50"/>
        <v>284</v>
      </c>
      <c r="V339" s="95">
        <f t="shared" si="51"/>
        <v>45723693.637210332</v>
      </c>
      <c r="W339" s="95">
        <f t="shared" si="52"/>
        <v>150000.00353750223</v>
      </c>
      <c r="X339" s="95">
        <f t="shared" si="53"/>
        <v>45573693.633672826</v>
      </c>
      <c r="Y339" s="95">
        <f t="shared" si="54"/>
        <v>46006132.975826874</v>
      </c>
      <c r="Z339" s="1"/>
      <c r="AA339" s="1"/>
      <c r="AB339" s="1"/>
      <c r="AC339" s="1"/>
      <c r="AD339" s="1"/>
      <c r="AE339" s="1"/>
      <c r="AF339" s="1"/>
      <c r="AG339" s="1"/>
      <c r="AH339" s="1"/>
    </row>
    <row r="340" spans="8:34" x14ac:dyDescent="0.35"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>
        <f t="shared" si="50"/>
        <v>285</v>
      </c>
      <c r="V340" s="95">
        <f t="shared" si="51"/>
        <v>46006132.975826874</v>
      </c>
      <c r="W340" s="95">
        <f t="shared" si="52"/>
        <v>150000.00355000223</v>
      </c>
      <c r="X340" s="95">
        <f t="shared" si="53"/>
        <v>45856132.972276874</v>
      </c>
      <c r="Y340" s="95">
        <f t="shared" si="54"/>
        <v>46291252.322831519</v>
      </c>
      <c r="Z340" s="1"/>
      <c r="AA340" s="1"/>
      <c r="AB340" s="1"/>
      <c r="AC340" s="1"/>
      <c r="AD340" s="1"/>
      <c r="AE340" s="1"/>
      <c r="AF340" s="1"/>
      <c r="AG340" s="1"/>
      <c r="AH340" s="1"/>
    </row>
    <row r="341" spans="8:34" x14ac:dyDescent="0.35"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>
        <f t="shared" si="50"/>
        <v>286</v>
      </c>
      <c r="V341" s="95">
        <f t="shared" si="51"/>
        <v>46291252.322831519</v>
      </c>
      <c r="W341" s="95">
        <f t="shared" si="52"/>
        <v>150000.00356250224</v>
      </c>
      <c r="X341" s="95">
        <f t="shared" si="53"/>
        <v>46141252.319269016</v>
      </c>
      <c r="Y341" s="95">
        <f t="shared" si="54"/>
        <v>46579077.108268909</v>
      </c>
      <c r="Z341" s="1"/>
      <c r="AA341" s="1"/>
      <c r="AB341" s="1"/>
      <c r="AC341" s="1"/>
      <c r="AD341" s="1"/>
      <c r="AE341" s="1"/>
      <c r="AF341" s="1"/>
      <c r="AG341" s="1"/>
      <c r="AH341" s="1"/>
    </row>
    <row r="342" spans="8:34" x14ac:dyDescent="0.35"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>
        <f t="shared" si="50"/>
        <v>287</v>
      </c>
      <c r="V342" s="95">
        <f t="shared" si="51"/>
        <v>46579077.108268909</v>
      </c>
      <c r="W342" s="95">
        <f t="shared" si="52"/>
        <v>150000.00357500225</v>
      </c>
      <c r="X342" s="95">
        <f t="shared" si="53"/>
        <v>46429077.104693905</v>
      </c>
      <c r="Y342" s="95">
        <f t="shared" si="54"/>
        <v>46869633.003484137</v>
      </c>
      <c r="Z342" s="1"/>
      <c r="AA342" s="1"/>
      <c r="AB342" s="1"/>
      <c r="AC342" s="1"/>
      <c r="AD342" s="1"/>
      <c r="AE342" s="1"/>
      <c r="AF342" s="1"/>
      <c r="AG342" s="1"/>
      <c r="AH342" s="1"/>
    </row>
    <row r="343" spans="8:34" x14ac:dyDescent="0.35"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>
        <f t="shared" si="50"/>
        <v>288</v>
      </c>
      <c r="V343" s="95">
        <f t="shared" si="51"/>
        <v>46869633.003484137</v>
      </c>
      <c r="W343" s="95">
        <f t="shared" si="52"/>
        <v>150000.00358750226</v>
      </c>
      <c r="X343" s="95">
        <f t="shared" si="53"/>
        <v>46719632.999896638</v>
      </c>
      <c r="Y343" s="95">
        <f t="shared" si="54"/>
        <v>47162945.923412368</v>
      </c>
      <c r="Z343" s="1"/>
      <c r="AA343" s="1"/>
      <c r="AB343" s="1"/>
      <c r="AC343" s="1"/>
      <c r="AD343" s="1"/>
      <c r="AE343" s="1"/>
      <c r="AF343" s="1"/>
      <c r="AG343" s="1"/>
      <c r="AH343" s="1"/>
    </row>
    <row r="344" spans="8:34" x14ac:dyDescent="0.35"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>
        <f t="shared" si="50"/>
        <v>289</v>
      </c>
      <c r="V344" s="95">
        <f t="shared" si="51"/>
        <v>47162945.923412368</v>
      </c>
      <c r="W344" s="95">
        <f t="shared" si="52"/>
        <v>150000.00360000227</v>
      </c>
      <c r="X344" s="95">
        <f t="shared" si="53"/>
        <v>47012945.919812366</v>
      </c>
      <c r="Y344" s="95">
        <f t="shared" si="54"/>
        <v>47459042.028890215</v>
      </c>
      <c r="Z344" s="1"/>
      <c r="AA344" s="1"/>
      <c r="AB344" s="1"/>
      <c r="AC344" s="1"/>
      <c r="AD344" s="1"/>
      <c r="AE344" s="1"/>
      <c r="AF344" s="1"/>
      <c r="AG344" s="1"/>
      <c r="AH344" s="1"/>
    </row>
    <row r="345" spans="8:34" x14ac:dyDescent="0.35"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>
        <f t="shared" si="50"/>
        <v>290</v>
      </c>
      <c r="V345" s="95">
        <f t="shared" si="51"/>
        <v>47459042.028890215</v>
      </c>
      <c r="W345" s="95">
        <f t="shared" si="52"/>
        <v>150000.00361250227</v>
      </c>
      <c r="X345" s="95">
        <f t="shared" si="53"/>
        <v>47309042.025277711</v>
      </c>
      <c r="Y345" s="95">
        <f t="shared" si="54"/>
        <v>47757947.728989057</v>
      </c>
      <c r="Z345" s="1"/>
      <c r="AA345" s="1"/>
      <c r="AB345" s="1"/>
      <c r="AC345" s="1"/>
      <c r="AD345" s="1"/>
      <c r="AE345" s="1"/>
      <c r="AF345" s="1"/>
      <c r="AG345" s="1"/>
      <c r="AH345" s="1"/>
    </row>
    <row r="346" spans="8:34" x14ac:dyDescent="0.35"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>
        <f t="shared" si="50"/>
        <v>291</v>
      </c>
      <c r="V346" s="95">
        <f t="shared" si="51"/>
        <v>47757947.728989057</v>
      </c>
      <c r="W346" s="95">
        <f t="shared" si="52"/>
        <v>150000.00362500228</v>
      </c>
      <c r="X346" s="95">
        <f t="shared" si="53"/>
        <v>47607947.725364052</v>
      </c>
      <c r="Y346" s="95">
        <f t="shared" si="54"/>
        <v>48059689.683370486</v>
      </c>
      <c r="Z346" s="1"/>
      <c r="AA346" s="1"/>
      <c r="AB346" s="1"/>
      <c r="AC346" s="1"/>
      <c r="AD346" s="1"/>
      <c r="AE346" s="1"/>
      <c r="AF346" s="1"/>
      <c r="AG346" s="1"/>
      <c r="AH346" s="1"/>
    </row>
    <row r="347" spans="8:34" x14ac:dyDescent="0.35"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>
        <f t="shared" si="50"/>
        <v>292</v>
      </c>
      <c r="V347" s="95">
        <f t="shared" si="51"/>
        <v>48059689.683370486</v>
      </c>
      <c r="W347" s="95">
        <f t="shared" si="52"/>
        <v>150000.00363750229</v>
      </c>
      <c r="X347" s="95">
        <f t="shared" si="53"/>
        <v>47909689.679732986</v>
      </c>
      <c r="Y347" s="95">
        <f t="shared" si="54"/>
        <v>48364294.804664105</v>
      </c>
      <c r="Z347" s="1"/>
      <c r="AA347" s="1"/>
      <c r="AB347" s="1"/>
      <c r="AC347" s="1"/>
      <c r="AD347" s="1"/>
      <c r="AE347" s="1"/>
      <c r="AF347" s="1"/>
      <c r="AG347" s="1"/>
      <c r="AH347" s="1"/>
    </row>
    <row r="348" spans="8:34" x14ac:dyDescent="0.35"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>
        <f t="shared" si="50"/>
        <v>293</v>
      </c>
      <c r="V348" s="95">
        <f t="shared" si="51"/>
        <v>48364294.804664105</v>
      </c>
      <c r="W348" s="95">
        <f t="shared" si="52"/>
        <v>150000.0036500023</v>
      </c>
      <c r="X348" s="95">
        <f t="shared" si="53"/>
        <v>48214294.801014103</v>
      </c>
      <c r="Y348" s="95">
        <f t="shared" si="54"/>
        <v>48671790.260867871</v>
      </c>
      <c r="Z348" s="1"/>
      <c r="AA348" s="1"/>
      <c r="AB348" s="1"/>
      <c r="AC348" s="1"/>
      <c r="AD348" s="1"/>
      <c r="AE348" s="1"/>
      <c r="AF348" s="1"/>
      <c r="AG348" s="1"/>
      <c r="AH348" s="1"/>
    </row>
    <row r="349" spans="8:34" x14ac:dyDescent="0.35"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>
        <f t="shared" si="50"/>
        <v>294</v>
      </c>
      <c r="V349" s="95">
        <f t="shared" si="51"/>
        <v>48671790.260867871</v>
      </c>
      <c r="W349" s="95">
        <f t="shared" si="52"/>
        <v>150000.00366250231</v>
      </c>
      <c r="X349" s="95">
        <f t="shared" si="53"/>
        <v>48521790.257205367</v>
      </c>
      <c r="Y349" s="95">
        <f t="shared" si="54"/>
        <v>48982203.47777126</v>
      </c>
      <c r="Z349" s="1"/>
      <c r="AA349" s="1"/>
      <c r="AB349" s="1"/>
      <c r="AC349" s="1"/>
      <c r="AD349" s="1"/>
      <c r="AE349" s="1"/>
      <c r="AF349" s="1"/>
      <c r="AG349" s="1"/>
      <c r="AH349" s="1"/>
    </row>
    <row r="350" spans="8:34" x14ac:dyDescent="0.35"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>
        <f t="shared" si="50"/>
        <v>295</v>
      </c>
      <c r="V350" s="95">
        <f t="shared" si="51"/>
        <v>48982203.47777126</v>
      </c>
      <c r="W350" s="95">
        <f t="shared" si="52"/>
        <v>150000.00367500231</v>
      </c>
      <c r="X350" s="95">
        <f t="shared" si="53"/>
        <v>48832203.474096261</v>
      </c>
      <c r="Y350" s="95">
        <f t="shared" si="54"/>
        <v>49295562.141401388</v>
      </c>
      <c r="Z350" s="1"/>
      <c r="AA350" s="1"/>
      <c r="AB350" s="1"/>
      <c r="AC350" s="1"/>
      <c r="AD350" s="1"/>
      <c r="AE350" s="1"/>
      <c r="AF350" s="1"/>
      <c r="AG350" s="1"/>
      <c r="AH350" s="1"/>
    </row>
    <row r="351" spans="8:34" x14ac:dyDescent="0.35"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>
        <f t="shared" si="50"/>
        <v>296</v>
      </c>
      <c r="V351" s="95">
        <f t="shared" si="51"/>
        <v>49295562.141401388</v>
      </c>
      <c r="W351" s="95">
        <f t="shared" si="52"/>
        <v>150000.00368750232</v>
      </c>
      <c r="X351" s="95">
        <f t="shared" si="53"/>
        <v>49145562.137713887</v>
      </c>
      <c r="Y351" s="95">
        <f t="shared" si="54"/>
        <v>49611894.200492337</v>
      </c>
      <c r="Z351" s="1"/>
      <c r="AA351" s="1"/>
      <c r="AB351" s="1"/>
      <c r="AC351" s="1"/>
      <c r="AD351" s="1"/>
      <c r="AE351" s="1"/>
      <c r="AF351" s="1"/>
      <c r="AG351" s="1"/>
      <c r="AH351" s="1"/>
    </row>
    <row r="352" spans="8:34" x14ac:dyDescent="0.35"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>
        <f t="shared" si="50"/>
        <v>297</v>
      </c>
      <c r="V352" s="95">
        <f t="shared" si="51"/>
        <v>49611894.200492337</v>
      </c>
      <c r="W352" s="95">
        <f t="shared" si="52"/>
        <v>150000.00370000233</v>
      </c>
      <c r="X352" s="95">
        <f t="shared" si="53"/>
        <v>49461894.196792334</v>
      </c>
      <c r="Y352" s="95">
        <f t="shared" si="54"/>
        <v>49931227.868977949</v>
      </c>
      <c r="Z352" s="1"/>
      <c r="AA352" s="1"/>
      <c r="AB352" s="1"/>
      <c r="AC352" s="1"/>
      <c r="AD352" s="1"/>
      <c r="AE352" s="1"/>
      <c r="AF352" s="1"/>
      <c r="AG352" s="1"/>
      <c r="AH352" s="1"/>
    </row>
    <row r="353" spans="8:34" x14ac:dyDescent="0.35"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>
        <f t="shared" si="50"/>
        <v>298</v>
      </c>
      <c r="V353" s="95">
        <f t="shared" si="51"/>
        <v>49931227.868977949</v>
      </c>
      <c r="W353" s="95">
        <f t="shared" si="52"/>
        <v>150000.00371250234</v>
      </c>
      <c r="X353" s="95">
        <f t="shared" si="53"/>
        <v>49781227.865265444</v>
      </c>
      <c r="Y353" s="95">
        <f t="shared" si="54"/>
        <v>50253591.62850824</v>
      </c>
      <c r="Z353" s="1"/>
      <c r="AA353" s="1"/>
      <c r="AB353" s="1"/>
      <c r="AC353" s="1"/>
      <c r="AD353" s="1"/>
      <c r="AE353" s="1"/>
      <c r="AF353" s="1"/>
      <c r="AG353" s="1"/>
      <c r="AH353" s="1"/>
    </row>
    <row r="354" spans="8:34" x14ac:dyDescent="0.35"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>
        <f t="shared" si="50"/>
        <v>299</v>
      </c>
      <c r="V354" s="95">
        <f t="shared" si="51"/>
        <v>50253591.62850824</v>
      </c>
      <c r="W354" s="95">
        <f t="shared" si="52"/>
        <v>150000.00372500235</v>
      </c>
      <c r="X354" s="95">
        <f t="shared" si="53"/>
        <v>50103591.62478324</v>
      </c>
      <c r="Y354" s="95">
        <f t="shared" si="54"/>
        <v>50579014.230989717</v>
      </c>
      <c r="Z354" s="1"/>
      <c r="AA354" s="1"/>
      <c r="AB354" s="1"/>
      <c r="AC354" s="1"/>
      <c r="AD354" s="1"/>
      <c r="AE354" s="1"/>
      <c r="AF354" s="1"/>
      <c r="AG354" s="1"/>
      <c r="AH354" s="1"/>
    </row>
    <row r="355" spans="8:34" x14ac:dyDescent="0.35"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>
        <f t="shared" si="50"/>
        <v>300</v>
      </c>
      <c r="V355" s="95">
        <f t="shared" si="51"/>
        <v>50579014.230989717</v>
      </c>
      <c r="W355" s="95">
        <f t="shared" si="52"/>
        <v>150000.00373750235</v>
      </c>
      <c r="X355" s="95">
        <f t="shared" si="53"/>
        <v>50429014.227252215</v>
      </c>
      <c r="Y355" s="95">
        <f t="shared" si="54"/>
        <v>50907524.701149754</v>
      </c>
      <c r="Z355" s="1"/>
      <c r="AA355" s="1"/>
      <c r="AB355" s="1"/>
      <c r="AC355" s="1"/>
      <c r="AD355" s="1"/>
      <c r="AE355" s="1"/>
      <c r="AF355" s="1"/>
      <c r="AG355" s="1"/>
      <c r="AH355" s="1"/>
    </row>
    <row r="356" spans="8:34" x14ac:dyDescent="0.35"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>
        <f t="shared" si="50"/>
        <v>301</v>
      </c>
      <c r="V356" s="95">
        <f t="shared" si="51"/>
        <v>50907524.701149754</v>
      </c>
      <c r="W356" s="95">
        <f t="shared" si="52"/>
        <v>150000.00375000236</v>
      </c>
      <c r="X356" s="95">
        <f t="shared" si="53"/>
        <v>50757524.69739975</v>
      </c>
      <c r="Y356" s="95">
        <f t="shared" si="54"/>
        <v>51239152.339125365</v>
      </c>
      <c r="Z356" s="1"/>
      <c r="AA356" s="1"/>
      <c r="AB356" s="1"/>
      <c r="AC356" s="1"/>
      <c r="AD356" s="1"/>
      <c r="AE356" s="1"/>
      <c r="AF356" s="1"/>
      <c r="AG356" s="1"/>
      <c r="AH356" s="1"/>
    </row>
    <row r="357" spans="8:34" x14ac:dyDescent="0.35"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>
        <f t="shared" si="50"/>
        <v>302</v>
      </c>
      <c r="V357" s="95">
        <f t="shared" si="51"/>
        <v>51239152.339125365</v>
      </c>
      <c r="W357" s="95">
        <f t="shared" si="52"/>
        <v>150000.00376250237</v>
      </c>
      <c r="X357" s="95">
        <f t="shared" si="53"/>
        <v>51089152.335362859</v>
      </c>
      <c r="Y357" s="95">
        <f t="shared" si="54"/>
        <v>51573926.723076485</v>
      </c>
      <c r="Z357" s="1"/>
      <c r="AA357" s="1"/>
      <c r="AB357" s="1"/>
      <c r="AC357" s="1"/>
      <c r="AD357" s="1"/>
      <c r="AE357" s="1"/>
      <c r="AF357" s="1"/>
      <c r="AG357" s="1"/>
      <c r="AH357" s="1"/>
    </row>
    <row r="358" spans="8:34" x14ac:dyDescent="0.35"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>
        <f t="shared" si="50"/>
        <v>303</v>
      </c>
      <c r="V358" s="95">
        <f t="shared" si="51"/>
        <v>51573926.723076485</v>
      </c>
      <c r="W358" s="95">
        <f t="shared" si="52"/>
        <v>150000.00377500238</v>
      </c>
      <c r="X358" s="95">
        <f t="shared" si="53"/>
        <v>51423926.719301485</v>
      </c>
      <c r="Y358" s="95">
        <f t="shared" si="54"/>
        <v>51911877.711824112</v>
      </c>
      <c r="Z358" s="1"/>
      <c r="AA358" s="1"/>
      <c r="AB358" s="1"/>
      <c r="AC358" s="1"/>
      <c r="AD358" s="1"/>
      <c r="AE358" s="1"/>
      <c r="AF358" s="1"/>
      <c r="AG358" s="1"/>
      <c r="AH358" s="1"/>
    </row>
    <row r="359" spans="8:34" x14ac:dyDescent="0.35"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>
        <f t="shared" si="50"/>
        <v>304</v>
      </c>
      <c r="V359" s="95">
        <f t="shared" si="51"/>
        <v>51911877.711824112</v>
      </c>
      <c r="W359" s="95">
        <f t="shared" si="52"/>
        <v>150000.00378750238</v>
      </c>
      <c r="X359" s="95">
        <f t="shared" si="53"/>
        <v>51761877.708036609</v>
      </c>
      <c r="Y359" s="95">
        <f t="shared" si="54"/>
        <v>52253035.447513379</v>
      </c>
      <c r="Z359" s="1"/>
      <c r="AA359" s="1"/>
      <c r="AB359" s="1"/>
      <c r="AC359" s="1"/>
      <c r="AD359" s="1"/>
      <c r="AE359" s="1"/>
      <c r="AF359" s="1"/>
      <c r="AG359" s="1"/>
      <c r="AH359" s="1"/>
    </row>
    <row r="360" spans="8:34" x14ac:dyDescent="0.35"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>
        <f t="shared" si="50"/>
        <v>305</v>
      </c>
      <c r="V360" s="95">
        <f t="shared" si="51"/>
        <v>52253035.447513379</v>
      </c>
      <c r="W360" s="95">
        <f t="shared" si="52"/>
        <v>150000.00380000239</v>
      </c>
      <c r="X360" s="95">
        <f t="shared" si="53"/>
        <v>52103035.443713374</v>
      </c>
      <c r="Y360" s="95">
        <f t="shared" si="54"/>
        <v>52597430.358302012</v>
      </c>
      <c r="Z360" s="1"/>
      <c r="AA360" s="1"/>
      <c r="AB360" s="1"/>
      <c r="AC360" s="1"/>
      <c r="AD360" s="1"/>
      <c r="AE360" s="1"/>
      <c r="AF360" s="1"/>
      <c r="AG360" s="1"/>
      <c r="AH360" s="1"/>
    </row>
    <row r="361" spans="8:34" x14ac:dyDescent="0.35"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>
        <f t="shared" si="50"/>
        <v>306</v>
      </c>
      <c r="V361" s="95">
        <f t="shared" si="51"/>
        <v>52597430.358302012</v>
      </c>
      <c r="W361" s="95">
        <f t="shared" si="52"/>
        <v>150000.0038125024</v>
      </c>
      <c r="X361" s="95">
        <f t="shared" si="53"/>
        <v>52447430.354489513</v>
      </c>
      <c r="Y361" s="95">
        <f t="shared" si="54"/>
        <v>52945093.161074229</v>
      </c>
      <c r="Z361" s="1"/>
      <c r="AA361" s="1"/>
      <c r="AB361" s="1"/>
      <c r="AC361" s="1"/>
      <c r="AD361" s="1"/>
      <c r="AE361" s="1"/>
      <c r="AF361" s="1"/>
      <c r="AG361" s="1"/>
      <c r="AH361" s="1"/>
    </row>
    <row r="362" spans="8:34" x14ac:dyDescent="0.35"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>
        <f t="shared" si="50"/>
        <v>307</v>
      </c>
      <c r="V362" s="95">
        <f t="shared" si="51"/>
        <v>52945093.161074229</v>
      </c>
      <c r="W362" s="95">
        <f t="shared" si="52"/>
        <v>150000.00382500241</v>
      </c>
      <c r="X362" s="95">
        <f t="shared" si="53"/>
        <v>52795093.157249227</v>
      </c>
      <c r="Y362" s="95">
        <f t="shared" si="54"/>
        <v>53296054.864180386</v>
      </c>
      <c r="Z362" s="1"/>
      <c r="AA362" s="1"/>
      <c r="AB362" s="1"/>
      <c r="AC362" s="1"/>
      <c r="AD362" s="1"/>
      <c r="AE362" s="1"/>
      <c r="AF362" s="1"/>
      <c r="AG362" s="1"/>
      <c r="AH362" s="1"/>
    </row>
    <row r="363" spans="8:34" x14ac:dyDescent="0.35"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>
        <f t="shared" si="50"/>
        <v>308</v>
      </c>
      <c r="V363" s="95">
        <f t="shared" si="51"/>
        <v>53296054.864180386</v>
      </c>
      <c r="W363" s="95">
        <f t="shared" si="52"/>
        <v>150000.00383750242</v>
      </c>
      <c r="X363" s="95">
        <f t="shared" si="53"/>
        <v>53146054.860342883</v>
      </c>
      <c r="Y363" s="95">
        <f t="shared" si="54"/>
        <v>53650346.770202667</v>
      </c>
      <c r="Z363" s="1"/>
      <c r="AA363" s="1"/>
      <c r="AB363" s="1"/>
      <c r="AC363" s="1"/>
      <c r="AD363" s="1"/>
      <c r="AE363" s="1"/>
      <c r="AF363" s="1"/>
      <c r="AG363" s="1"/>
      <c r="AH363" s="1"/>
    </row>
    <row r="364" spans="8:34" x14ac:dyDescent="0.35"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>
        <f t="shared" si="50"/>
        <v>309</v>
      </c>
      <c r="V364" s="95">
        <f t="shared" si="51"/>
        <v>53650346.770202667</v>
      </c>
      <c r="W364" s="95">
        <f t="shared" si="52"/>
        <v>150000.00385000242</v>
      </c>
      <c r="X364" s="95">
        <f t="shared" si="53"/>
        <v>53500346.766352661</v>
      </c>
      <c r="Y364" s="95">
        <f t="shared" si="54"/>
        <v>54008000.478746973</v>
      </c>
      <c r="Z364" s="1"/>
      <c r="AA364" s="1"/>
      <c r="AB364" s="1"/>
      <c r="AC364" s="1"/>
      <c r="AD364" s="1"/>
      <c r="AE364" s="1"/>
      <c r="AF364" s="1"/>
      <c r="AG364" s="1"/>
      <c r="AH364" s="1"/>
    </row>
    <row r="365" spans="8:34" x14ac:dyDescent="0.35"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>
        <f t="shared" si="50"/>
        <v>310</v>
      </c>
      <c r="V365" s="95">
        <f t="shared" si="51"/>
        <v>54008000.478746973</v>
      </c>
      <c r="W365" s="95">
        <f t="shared" si="52"/>
        <v>150000.00386250243</v>
      </c>
      <c r="X365" s="95">
        <f t="shared" si="53"/>
        <v>53858000.474884473</v>
      </c>
      <c r="Y365" s="95">
        <f t="shared" si="54"/>
        <v>54369047.889261328</v>
      </c>
      <c r="Z365" s="1"/>
      <c r="AA365" s="1"/>
      <c r="AB365" s="1"/>
      <c r="AC365" s="1"/>
      <c r="AD365" s="1"/>
      <c r="AE365" s="1"/>
      <c r="AF365" s="1"/>
      <c r="AG365" s="1"/>
      <c r="AH365" s="1"/>
    </row>
    <row r="366" spans="8:34" x14ac:dyDescent="0.35"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>
        <f t="shared" si="50"/>
        <v>311</v>
      </c>
      <c r="V366" s="95">
        <f t="shared" si="51"/>
        <v>54369047.889261328</v>
      </c>
      <c r="W366" s="95">
        <f t="shared" si="52"/>
        <v>150000.00387500244</v>
      </c>
      <c r="X366" s="95">
        <f t="shared" si="53"/>
        <v>54219047.885386325</v>
      </c>
      <c r="Y366" s="95">
        <f t="shared" si="54"/>
        <v>54733521.203880996</v>
      </c>
      <c r="Z366" s="1"/>
      <c r="AA366" s="1"/>
      <c r="AB366" s="1"/>
      <c r="AC366" s="1"/>
      <c r="AD366" s="1"/>
      <c r="AE366" s="1"/>
      <c r="AF366" s="1"/>
      <c r="AG366" s="1"/>
      <c r="AH366" s="1"/>
    </row>
    <row r="367" spans="8:34" x14ac:dyDescent="0.35"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>
        <f t="shared" si="50"/>
        <v>312</v>
      </c>
      <c r="V367" s="95">
        <f t="shared" si="51"/>
        <v>54733521.203880996</v>
      </c>
      <c r="W367" s="95">
        <f t="shared" si="52"/>
        <v>150000.00388750245</v>
      </c>
      <c r="X367" s="95">
        <f t="shared" si="53"/>
        <v>54583521.199993491</v>
      </c>
      <c r="Y367" s="95">
        <f t="shared" si="54"/>
        <v>55101452.930300653</v>
      </c>
      <c r="Z367" s="1"/>
      <c r="AA367" s="1"/>
      <c r="AB367" s="1"/>
      <c r="AC367" s="1"/>
      <c r="AD367" s="1"/>
      <c r="AE367" s="1"/>
      <c r="AF367" s="1"/>
      <c r="AG367" s="1"/>
      <c r="AH367" s="1"/>
    </row>
    <row r="368" spans="8:34" x14ac:dyDescent="0.35"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>
        <f t="shared" si="50"/>
        <v>313</v>
      </c>
      <c r="V368" s="95">
        <f t="shared" si="51"/>
        <v>55101452.930300653</v>
      </c>
      <c r="W368" s="95">
        <f t="shared" si="52"/>
        <v>150000.00390000246</v>
      </c>
      <c r="X368" s="95">
        <f t="shared" si="53"/>
        <v>54951452.926400654</v>
      </c>
      <c r="Y368" s="95">
        <f t="shared" si="54"/>
        <v>55472875.884673759</v>
      </c>
      <c r="Z368" s="1"/>
      <c r="AA368" s="1"/>
      <c r="AB368" s="1"/>
      <c r="AC368" s="1"/>
      <c r="AD368" s="1"/>
      <c r="AE368" s="1"/>
      <c r="AF368" s="1"/>
      <c r="AG368" s="1"/>
      <c r="AH368" s="1"/>
    </row>
    <row r="369" spans="8:34" x14ac:dyDescent="0.35"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>
        <f t="shared" si="50"/>
        <v>314</v>
      </c>
      <c r="V369" s="95">
        <f t="shared" si="51"/>
        <v>55472875.884673759</v>
      </c>
      <c r="W369" s="95">
        <f t="shared" si="52"/>
        <v>150000.00391250246</v>
      </c>
      <c r="X369" s="95">
        <f t="shared" si="53"/>
        <v>55322875.880761258</v>
      </c>
      <c r="Y369" s="95">
        <f t="shared" si="54"/>
        <v>55847823.194539443</v>
      </c>
      <c r="Z369" s="1"/>
      <c r="AA369" s="1"/>
      <c r="AB369" s="1"/>
      <c r="AC369" s="1"/>
      <c r="AD369" s="1"/>
      <c r="AE369" s="1"/>
      <c r="AF369" s="1"/>
      <c r="AG369" s="1"/>
      <c r="AH369" s="1"/>
    </row>
    <row r="370" spans="8:34" x14ac:dyDescent="0.35"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>
        <f t="shared" si="50"/>
        <v>315</v>
      </c>
      <c r="V370" s="95">
        <f t="shared" si="51"/>
        <v>55847823.194539443</v>
      </c>
      <c r="W370" s="95">
        <f t="shared" si="52"/>
        <v>150000.00392500247</v>
      </c>
      <c r="X370" s="95">
        <f t="shared" si="53"/>
        <v>55697823.19061444</v>
      </c>
      <c r="Y370" s="95">
        <f t="shared" si="54"/>
        <v>56226328.301777199</v>
      </c>
      <c r="Z370" s="1"/>
      <c r="AA370" s="1"/>
      <c r="AB370" s="1"/>
      <c r="AC370" s="1"/>
      <c r="AD370" s="1"/>
      <c r="AE370" s="1"/>
      <c r="AF370" s="1"/>
      <c r="AG370" s="1"/>
      <c r="AH370" s="1"/>
    </row>
    <row r="371" spans="8:34" x14ac:dyDescent="0.35"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>
        <f t="shared" si="50"/>
        <v>316</v>
      </c>
      <c r="V371" s="95">
        <f t="shared" si="51"/>
        <v>56226328.301777199</v>
      </c>
      <c r="W371" s="95">
        <f t="shared" si="52"/>
        <v>150000.00393750248</v>
      </c>
      <c r="X371" s="95">
        <f t="shared" si="53"/>
        <v>56076328.297839694</v>
      </c>
      <c r="Y371" s="95">
        <f t="shared" si="54"/>
        <v>56608424.965589598</v>
      </c>
      <c r="Z371" s="1"/>
      <c r="AA371" s="1"/>
      <c r="AB371" s="1"/>
      <c r="AC371" s="1"/>
      <c r="AD371" s="1"/>
      <c r="AE371" s="1"/>
      <c r="AF371" s="1"/>
      <c r="AG371" s="1"/>
      <c r="AH371" s="1"/>
    </row>
    <row r="372" spans="8:34" x14ac:dyDescent="0.35"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>
        <f t="shared" si="50"/>
        <v>317</v>
      </c>
      <c r="V372" s="95">
        <f t="shared" si="51"/>
        <v>56608424.965589598</v>
      </c>
      <c r="W372" s="95">
        <f t="shared" si="52"/>
        <v>150000.00395000249</v>
      </c>
      <c r="X372" s="95">
        <f t="shared" si="53"/>
        <v>56458424.961639598</v>
      </c>
      <c r="Y372" s="95">
        <f t="shared" si="54"/>
        <v>56994147.265513293</v>
      </c>
      <c r="Z372" s="1"/>
      <c r="AA372" s="1"/>
      <c r="AB372" s="1"/>
      <c r="AC372" s="1"/>
      <c r="AD372" s="1"/>
      <c r="AE372" s="1"/>
      <c r="AF372" s="1"/>
      <c r="AG372" s="1"/>
      <c r="AH372" s="1"/>
    </row>
    <row r="373" spans="8:34" x14ac:dyDescent="0.35"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>
        <f t="shared" si="50"/>
        <v>318</v>
      </c>
      <c r="V373" s="95">
        <f t="shared" si="51"/>
        <v>56994147.265513293</v>
      </c>
      <c r="W373" s="95">
        <f t="shared" si="52"/>
        <v>150000.00396250249</v>
      </c>
      <c r="X373" s="95">
        <f t="shared" si="53"/>
        <v>56844147.261550792</v>
      </c>
      <c r="Y373" s="95">
        <f t="shared" si="54"/>
        <v>57383529.604458593</v>
      </c>
      <c r="Z373" s="1"/>
      <c r="AA373" s="1"/>
      <c r="AB373" s="1"/>
      <c r="AC373" s="1"/>
      <c r="AD373" s="1"/>
      <c r="AE373" s="1"/>
      <c r="AF373" s="1"/>
      <c r="AG373" s="1"/>
      <c r="AH373" s="1"/>
    </row>
    <row r="374" spans="8:34" x14ac:dyDescent="0.35"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>
        <f t="shared" si="50"/>
        <v>319</v>
      </c>
      <c r="V374" s="95">
        <f t="shared" si="51"/>
        <v>57383529.604458593</v>
      </c>
      <c r="W374" s="95">
        <f t="shared" si="52"/>
        <v>150000.0039750025</v>
      </c>
      <c r="X374" s="95">
        <f t="shared" si="53"/>
        <v>57233529.600483589</v>
      </c>
      <c r="Y374" s="95">
        <f t="shared" si="54"/>
        <v>57776606.711777911</v>
      </c>
      <c r="Z374" s="1"/>
      <c r="AA374" s="1"/>
      <c r="AB374" s="1"/>
      <c r="AC374" s="1"/>
      <c r="AD374" s="1"/>
      <c r="AE374" s="1"/>
      <c r="AF374" s="1"/>
      <c r="AG374" s="1"/>
      <c r="AH374" s="1"/>
    </row>
    <row r="375" spans="8:34" x14ac:dyDescent="0.35"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>
        <f t="shared" si="50"/>
        <v>320</v>
      </c>
      <c r="V375" s="95">
        <f t="shared" si="51"/>
        <v>57776606.711777911</v>
      </c>
      <c r="W375" s="95">
        <f t="shared" si="52"/>
        <v>150000.00398750251</v>
      </c>
      <c r="X375" s="95">
        <f t="shared" si="53"/>
        <v>57626606.707790405</v>
      </c>
      <c r="Y375" s="95">
        <f t="shared" si="54"/>
        <v>58173413.646363281</v>
      </c>
      <c r="Z375" s="1"/>
      <c r="AA375" s="1"/>
      <c r="AB375" s="1"/>
      <c r="AC375" s="1"/>
      <c r="AD375" s="1"/>
      <c r="AE375" s="1"/>
      <c r="AF375" s="1"/>
      <c r="AG375" s="1"/>
      <c r="AH375" s="1"/>
    </row>
    <row r="376" spans="8:34" x14ac:dyDescent="0.35"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>
        <f t="shared" si="50"/>
        <v>321</v>
      </c>
      <c r="V376" s="95">
        <f t="shared" si="51"/>
        <v>58173413.646363281</v>
      </c>
      <c r="W376" s="95">
        <f t="shared" si="52"/>
        <v>150000.00400000252</v>
      </c>
      <c r="X376" s="95">
        <f t="shared" si="53"/>
        <v>58023413.64236328</v>
      </c>
      <c r="Y376" s="95">
        <f t="shared" si="54"/>
        <v>58573985.799773328</v>
      </c>
      <c r="Z376" s="1"/>
      <c r="AA376" s="1"/>
      <c r="AB376" s="1"/>
      <c r="AC376" s="1"/>
      <c r="AD376" s="1"/>
      <c r="AE376" s="1"/>
      <c r="AF376" s="1"/>
      <c r="AG376" s="1"/>
      <c r="AH376" s="1"/>
    </row>
    <row r="377" spans="8:34" x14ac:dyDescent="0.35"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>
        <f t="shared" si="50"/>
        <v>322</v>
      </c>
      <c r="V377" s="95">
        <f t="shared" si="51"/>
        <v>58573985.799773328</v>
      </c>
      <c r="W377" s="95">
        <f t="shared" si="52"/>
        <v>150000.00401250253</v>
      </c>
      <c r="X377" s="95">
        <f t="shared" si="53"/>
        <v>58423985.795760825</v>
      </c>
      <c r="Y377" s="95">
        <f t="shared" si="54"/>
        <v>58978358.899389818</v>
      </c>
      <c r="Z377" s="1"/>
      <c r="AA377" s="1"/>
      <c r="AB377" s="1"/>
      <c r="AC377" s="1"/>
      <c r="AD377" s="1"/>
      <c r="AE377" s="1"/>
      <c r="AF377" s="1"/>
      <c r="AG377" s="1"/>
      <c r="AH377" s="1"/>
    </row>
    <row r="378" spans="8:34" x14ac:dyDescent="0.35"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>
        <f t="shared" ref="U378:U441" si="55">U377+1</f>
        <v>323</v>
      </c>
      <c r="V378" s="95">
        <f t="shared" ref="V378:V441" si="56">Y377</f>
        <v>58978358.899389818</v>
      </c>
      <c r="W378" s="95">
        <f t="shared" ref="W378:W441" si="57">W377+W377*($F$15/12)</f>
        <v>150000.00402500253</v>
      </c>
      <c r="X378" s="95">
        <f t="shared" ref="X378:X441" si="58">V378-W378</f>
        <v>58828358.895364814</v>
      </c>
      <c r="Y378" s="95">
        <f t="shared" ref="Y378:Y441" si="59">X378+(X378*($K$9/12))</f>
        <v>59386569.011604264</v>
      </c>
      <c r="Z378" s="1"/>
      <c r="AA378" s="1"/>
      <c r="AB378" s="1"/>
      <c r="AC378" s="1"/>
      <c r="AD378" s="1"/>
      <c r="AE378" s="1"/>
      <c r="AF378" s="1"/>
      <c r="AG378" s="1"/>
      <c r="AH378" s="1"/>
    </row>
    <row r="379" spans="8:34" x14ac:dyDescent="0.35"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>
        <f t="shared" si="55"/>
        <v>324</v>
      </c>
      <c r="V379" s="112">
        <f t="shared" si="56"/>
        <v>59386569.011604264</v>
      </c>
      <c r="W379" s="95">
        <f t="shared" si="57"/>
        <v>150000.00403750254</v>
      </c>
      <c r="X379" s="95">
        <f t="shared" si="58"/>
        <v>59236569.007566765</v>
      </c>
      <c r="Y379" s="95">
        <f t="shared" si="59"/>
        <v>59798652.545034707</v>
      </c>
      <c r="Z379" s="1"/>
      <c r="AA379" s="1"/>
      <c r="AB379" s="1"/>
      <c r="AC379" s="1"/>
      <c r="AD379" s="1"/>
      <c r="AE379" s="1"/>
      <c r="AF379" s="1"/>
      <c r="AG379" s="1"/>
      <c r="AH379" s="1"/>
    </row>
    <row r="380" spans="8:34" x14ac:dyDescent="0.35"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>
        <f t="shared" si="55"/>
        <v>325</v>
      </c>
      <c r="V380" s="95">
        <f t="shared" si="56"/>
        <v>59798652.545034707</v>
      </c>
      <c r="W380" s="95">
        <f t="shared" si="57"/>
        <v>150000.00405000255</v>
      </c>
      <c r="X380" s="95">
        <f t="shared" si="58"/>
        <v>59648652.540984705</v>
      </c>
      <c r="Y380" s="95">
        <f t="shared" si="59"/>
        <v>60214646.253772996</v>
      </c>
      <c r="Z380" s="1"/>
      <c r="AA380" s="1"/>
      <c r="AB380" s="1"/>
      <c r="AC380" s="1"/>
      <c r="AD380" s="1"/>
      <c r="AE380" s="1"/>
      <c r="AF380" s="1"/>
      <c r="AG380" s="1"/>
      <c r="AH380" s="1"/>
    </row>
    <row r="381" spans="8:34" x14ac:dyDescent="0.35"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>
        <f t="shared" si="55"/>
        <v>326</v>
      </c>
      <c r="V381" s="95">
        <f t="shared" si="56"/>
        <v>60214646.253772996</v>
      </c>
      <c r="W381" s="95">
        <f t="shared" si="57"/>
        <v>150000.00406250256</v>
      </c>
      <c r="X381" s="95">
        <f t="shared" si="58"/>
        <v>60064646.249710493</v>
      </c>
      <c r="Y381" s="95">
        <f t="shared" si="59"/>
        <v>60634587.240662977</v>
      </c>
      <c r="Z381" s="1"/>
      <c r="AA381" s="1"/>
      <c r="AB381" s="1"/>
      <c r="AC381" s="1"/>
      <c r="AD381" s="1"/>
      <c r="AE381" s="1"/>
      <c r="AF381" s="1"/>
      <c r="AG381" s="1"/>
      <c r="AH381" s="1"/>
    </row>
    <row r="382" spans="8:34" x14ac:dyDescent="0.35"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>
        <f t="shared" si="55"/>
        <v>327</v>
      </c>
      <c r="V382" s="95">
        <f t="shared" si="56"/>
        <v>60634587.240662977</v>
      </c>
      <c r="W382" s="95">
        <f t="shared" si="57"/>
        <v>150000.00407500257</v>
      </c>
      <c r="X382" s="95">
        <f t="shared" si="58"/>
        <v>60484587.236587971</v>
      </c>
      <c r="Y382" s="95">
        <f t="shared" si="59"/>
        <v>61058512.960609682</v>
      </c>
      <c r="Z382" s="1"/>
      <c r="AA382" s="1"/>
      <c r="AB382" s="1"/>
      <c r="AC382" s="1"/>
      <c r="AD382" s="1"/>
      <c r="AE382" s="1"/>
      <c r="AF382" s="1"/>
      <c r="AG382" s="1"/>
      <c r="AH382" s="1"/>
    </row>
    <row r="383" spans="8:34" x14ac:dyDescent="0.35"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>
        <f t="shared" si="55"/>
        <v>328</v>
      </c>
      <c r="V383" s="95">
        <f t="shared" si="56"/>
        <v>61058512.960609682</v>
      </c>
      <c r="W383" s="95">
        <f t="shared" si="57"/>
        <v>150000.00408750257</v>
      </c>
      <c r="X383" s="95">
        <f t="shared" si="58"/>
        <v>60908512.956522182</v>
      </c>
      <c r="Y383" s="95">
        <f t="shared" si="59"/>
        <v>61486461.223919988</v>
      </c>
      <c r="Z383" s="1"/>
      <c r="AA383" s="1"/>
      <c r="AB383" s="1"/>
      <c r="AC383" s="1"/>
      <c r="AD383" s="1"/>
      <c r="AE383" s="1"/>
      <c r="AF383" s="1"/>
      <c r="AG383" s="1"/>
      <c r="AH383" s="1"/>
    </row>
    <row r="384" spans="8:34" x14ac:dyDescent="0.35"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>
        <f t="shared" si="55"/>
        <v>329</v>
      </c>
      <c r="V384" s="95">
        <f t="shared" si="56"/>
        <v>61486461.223919988</v>
      </c>
      <c r="W384" s="95">
        <f t="shared" si="57"/>
        <v>150000.00410000258</v>
      </c>
      <c r="X384" s="95">
        <f t="shared" si="58"/>
        <v>61336461.219819985</v>
      </c>
      <c r="Y384" s="95">
        <f t="shared" si="59"/>
        <v>61918470.199674942</v>
      </c>
      <c r="Z384" s="1"/>
      <c r="AA384" s="1"/>
      <c r="AB384" s="1"/>
      <c r="AC384" s="1"/>
      <c r="AD384" s="1"/>
      <c r="AE384" s="1"/>
      <c r="AF384" s="1"/>
      <c r="AG384" s="1"/>
      <c r="AH384" s="1"/>
    </row>
    <row r="385" spans="8:34" x14ac:dyDescent="0.35"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>
        <f t="shared" si="55"/>
        <v>330</v>
      </c>
      <c r="V385" s="95">
        <f t="shared" si="56"/>
        <v>61918470.199674942</v>
      </c>
      <c r="W385" s="95">
        <f t="shared" si="57"/>
        <v>150000.00411250259</v>
      </c>
      <c r="X385" s="95">
        <f t="shared" si="58"/>
        <v>61768470.195562437</v>
      </c>
      <c r="Y385" s="95">
        <f t="shared" si="59"/>
        <v>62354578.419134095</v>
      </c>
      <c r="Z385" s="1"/>
      <c r="AA385" s="1"/>
      <c r="AB385" s="1"/>
      <c r="AC385" s="1"/>
      <c r="AD385" s="1"/>
      <c r="AE385" s="1"/>
      <c r="AF385" s="1"/>
      <c r="AG385" s="1"/>
      <c r="AH385" s="1"/>
    </row>
    <row r="386" spans="8:34" x14ac:dyDescent="0.35"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>
        <f t="shared" si="55"/>
        <v>331</v>
      </c>
      <c r="V386" s="95">
        <f t="shared" si="56"/>
        <v>62354578.419134095</v>
      </c>
      <c r="W386" s="95">
        <f t="shared" si="57"/>
        <v>150000.0041250026</v>
      </c>
      <c r="X386" s="95">
        <f t="shared" si="58"/>
        <v>62204578.415009096</v>
      </c>
      <c r="Y386" s="95">
        <f t="shared" si="59"/>
        <v>62794824.779172152</v>
      </c>
      <c r="Z386" s="1"/>
      <c r="AA386" s="1"/>
      <c r="AB386" s="1"/>
      <c r="AC386" s="1"/>
      <c r="AD386" s="1"/>
      <c r="AE386" s="1"/>
      <c r="AF386" s="1"/>
      <c r="AG386" s="1"/>
      <c r="AH386" s="1"/>
    </row>
    <row r="387" spans="8:34" x14ac:dyDescent="0.35"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>
        <f t="shared" si="55"/>
        <v>332</v>
      </c>
      <c r="V387" s="95">
        <f t="shared" si="56"/>
        <v>62794824.779172152</v>
      </c>
      <c r="W387" s="95">
        <f t="shared" si="57"/>
        <v>150000.0041375026</v>
      </c>
      <c r="X387" s="95">
        <f t="shared" si="58"/>
        <v>62644824.775034651</v>
      </c>
      <c r="Y387" s="95">
        <f t="shared" si="59"/>
        <v>63239248.545748197</v>
      </c>
      <c r="Z387" s="1"/>
      <c r="AA387" s="1"/>
      <c r="AB387" s="1"/>
      <c r="AC387" s="1"/>
      <c r="AD387" s="1"/>
      <c r="AE387" s="1"/>
      <c r="AF387" s="1"/>
      <c r="AG387" s="1"/>
      <c r="AH387" s="1"/>
    </row>
    <row r="388" spans="8:34" x14ac:dyDescent="0.35"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>
        <f t="shared" si="55"/>
        <v>333</v>
      </c>
      <c r="V388" s="95">
        <f t="shared" si="56"/>
        <v>63239248.545748197</v>
      </c>
      <c r="W388" s="95">
        <f t="shared" si="57"/>
        <v>150000.00415000261</v>
      </c>
      <c r="X388" s="95">
        <f t="shared" si="58"/>
        <v>63089248.541598193</v>
      </c>
      <c r="Y388" s="95">
        <f t="shared" si="59"/>
        <v>63687889.35740786</v>
      </c>
      <c r="Z388" s="1"/>
      <c r="AA388" s="1"/>
      <c r="AB388" s="1"/>
      <c r="AC388" s="1"/>
      <c r="AD388" s="1"/>
      <c r="AE388" s="1"/>
      <c r="AF388" s="1"/>
      <c r="AG388" s="1"/>
      <c r="AH388" s="1"/>
    </row>
    <row r="389" spans="8:34" x14ac:dyDescent="0.35"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>
        <f t="shared" si="55"/>
        <v>334</v>
      </c>
      <c r="V389" s="95">
        <f t="shared" si="56"/>
        <v>63687889.35740786</v>
      </c>
      <c r="W389" s="95">
        <f t="shared" si="57"/>
        <v>150000.00416250262</v>
      </c>
      <c r="X389" s="95">
        <f t="shared" si="58"/>
        <v>63537889.353245355</v>
      </c>
      <c r="Y389" s="95">
        <f t="shared" si="59"/>
        <v>64140787.228818752</v>
      </c>
      <c r="Z389" s="1"/>
      <c r="AA389" s="1"/>
      <c r="AB389" s="1"/>
      <c r="AC389" s="1"/>
      <c r="AD389" s="1"/>
      <c r="AE389" s="1"/>
      <c r="AF389" s="1"/>
      <c r="AG389" s="1"/>
      <c r="AH389" s="1"/>
    </row>
    <row r="390" spans="8:34" x14ac:dyDescent="0.35"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>
        <f t="shared" si="55"/>
        <v>335</v>
      </c>
      <c r="V390" s="95">
        <f t="shared" si="56"/>
        <v>64140787.228818752</v>
      </c>
      <c r="W390" s="95">
        <f t="shared" si="57"/>
        <v>150000.00417500263</v>
      </c>
      <c r="X390" s="95">
        <f t="shared" si="58"/>
        <v>63990787.224643752</v>
      </c>
      <c r="Y390" s="95">
        <f t="shared" si="59"/>
        <v>64597982.554339357</v>
      </c>
      <c r="Z390" s="1"/>
      <c r="AA390" s="1"/>
      <c r="AB390" s="1"/>
      <c r="AC390" s="1"/>
      <c r="AD390" s="1"/>
      <c r="AE390" s="1"/>
      <c r="AF390" s="1"/>
      <c r="AG390" s="1"/>
      <c r="AH390" s="1"/>
    </row>
    <row r="391" spans="8:34" x14ac:dyDescent="0.35"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>
        <f t="shared" si="55"/>
        <v>336</v>
      </c>
      <c r="V391" s="95">
        <f t="shared" si="56"/>
        <v>64597982.554339357</v>
      </c>
      <c r="W391" s="95">
        <f t="shared" si="57"/>
        <v>150000.00418750264</v>
      </c>
      <c r="X391" s="95">
        <f t="shared" si="58"/>
        <v>64447982.550151855</v>
      </c>
      <c r="Y391" s="95">
        <f t="shared" si="59"/>
        <v>65059516.111621864</v>
      </c>
      <c r="Z391" s="1"/>
      <c r="AA391" s="1"/>
      <c r="AB391" s="1"/>
      <c r="AC391" s="1"/>
      <c r="AD391" s="1"/>
      <c r="AE391" s="1"/>
      <c r="AF391" s="1"/>
      <c r="AG391" s="1"/>
      <c r="AH391" s="1"/>
    </row>
    <row r="392" spans="8:34" x14ac:dyDescent="0.35"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>
        <f t="shared" si="55"/>
        <v>337</v>
      </c>
      <c r="V392" s="95">
        <f t="shared" si="56"/>
        <v>65059516.111621864</v>
      </c>
      <c r="W392" s="95">
        <f t="shared" si="57"/>
        <v>150000.00420000264</v>
      </c>
      <c r="X392" s="95">
        <f t="shared" si="58"/>
        <v>64909516.10742186</v>
      </c>
      <c r="Y392" s="95">
        <f t="shared" si="59"/>
        <v>65525429.065249167</v>
      </c>
      <c r="Z392" s="1"/>
      <c r="AA392" s="1"/>
      <c r="AB392" s="1"/>
      <c r="AC392" s="1"/>
      <c r="AD392" s="1"/>
      <c r="AE392" s="1"/>
      <c r="AF392" s="1"/>
      <c r="AG392" s="1"/>
      <c r="AH392" s="1"/>
    </row>
    <row r="393" spans="8:34" x14ac:dyDescent="0.35"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>
        <f t="shared" si="55"/>
        <v>338</v>
      </c>
      <c r="V393" s="95">
        <f t="shared" si="56"/>
        <v>65525429.065249167</v>
      </c>
      <c r="W393" s="95">
        <f t="shared" si="57"/>
        <v>150000.00421250265</v>
      </c>
      <c r="X393" s="95">
        <f t="shared" si="58"/>
        <v>65375429.061036661</v>
      </c>
      <c r="Y393" s="95">
        <f t="shared" si="59"/>
        <v>65995762.970406361</v>
      </c>
      <c r="Z393" s="1"/>
      <c r="AA393" s="1"/>
      <c r="AB393" s="1"/>
      <c r="AC393" s="1"/>
      <c r="AD393" s="1"/>
      <c r="AE393" s="1"/>
      <c r="AF393" s="1"/>
      <c r="AG393" s="1"/>
      <c r="AH393" s="1"/>
    </row>
    <row r="394" spans="8:34" x14ac:dyDescent="0.35"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>
        <f t="shared" si="55"/>
        <v>339</v>
      </c>
      <c r="V394" s="95">
        <f t="shared" si="56"/>
        <v>65995762.970406361</v>
      </c>
      <c r="W394" s="95">
        <f t="shared" si="57"/>
        <v>150000.00422500266</v>
      </c>
      <c r="X394" s="95">
        <f t="shared" si="58"/>
        <v>65845762.96618136</v>
      </c>
      <c r="Y394" s="95">
        <f t="shared" si="59"/>
        <v>66470559.776587091</v>
      </c>
      <c r="Z394" s="1"/>
      <c r="AA394" s="1"/>
      <c r="AB394" s="1"/>
      <c r="AC394" s="1"/>
      <c r="AD394" s="1"/>
      <c r="AE394" s="1"/>
      <c r="AF394" s="1"/>
      <c r="AG394" s="1"/>
      <c r="AH394" s="1"/>
    </row>
    <row r="395" spans="8:34" x14ac:dyDescent="0.35"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>
        <f t="shared" si="55"/>
        <v>340</v>
      </c>
      <c r="V395" s="95">
        <f t="shared" si="56"/>
        <v>66470559.776587091</v>
      </c>
      <c r="W395" s="95">
        <f t="shared" si="57"/>
        <v>150000.00423750267</v>
      </c>
      <c r="X395" s="95">
        <f t="shared" si="58"/>
        <v>66320559.772349589</v>
      </c>
      <c r="Y395" s="95">
        <f t="shared" si="59"/>
        <v>66949861.831335053</v>
      </c>
      <c r="Z395" s="1"/>
      <c r="AA395" s="1"/>
      <c r="AB395" s="1"/>
      <c r="AC395" s="1"/>
      <c r="AD395" s="1"/>
      <c r="AE395" s="1"/>
      <c r="AF395" s="1"/>
      <c r="AG395" s="1"/>
      <c r="AH395" s="1"/>
    </row>
    <row r="396" spans="8:34" x14ac:dyDescent="0.35"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>
        <f t="shared" si="55"/>
        <v>341</v>
      </c>
      <c r="V396" s="95">
        <f t="shared" si="56"/>
        <v>66949861.831335053</v>
      </c>
      <c r="W396" s="95">
        <f t="shared" si="57"/>
        <v>150000.00425000268</v>
      </c>
      <c r="X396" s="95">
        <f t="shared" si="58"/>
        <v>66799861.827085048</v>
      </c>
      <c r="Y396" s="95">
        <f t="shared" si="59"/>
        <v>67433711.884021014</v>
      </c>
      <c r="Z396" s="1"/>
      <c r="AA396" s="1"/>
      <c r="AB396" s="1"/>
      <c r="AC396" s="1"/>
      <c r="AD396" s="1"/>
      <c r="AE396" s="1"/>
      <c r="AF396" s="1"/>
      <c r="AG396" s="1"/>
      <c r="AH396" s="1"/>
    </row>
    <row r="397" spans="8:34" x14ac:dyDescent="0.35"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>
        <f t="shared" si="55"/>
        <v>342</v>
      </c>
      <c r="V397" s="95">
        <f t="shared" si="56"/>
        <v>67433711.884021014</v>
      </c>
      <c r="W397" s="95">
        <f t="shared" si="57"/>
        <v>150000.00426250268</v>
      </c>
      <c r="X397" s="95">
        <f t="shared" si="58"/>
        <v>67283711.879758507</v>
      </c>
      <c r="Y397" s="95">
        <f t="shared" si="59"/>
        <v>67922153.089655682</v>
      </c>
      <c r="Z397" s="1"/>
      <c r="AA397" s="1"/>
      <c r="AB397" s="1"/>
      <c r="AC397" s="1"/>
      <c r="AD397" s="1"/>
      <c r="AE397" s="1"/>
      <c r="AF397" s="1"/>
      <c r="AG397" s="1"/>
      <c r="AH397" s="1"/>
    </row>
    <row r="398" spans="8:34" x14ac:dyDescent="0.35"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>
        <f t="shared" si="55"/>
        <v>343</v>
      </c>
      <c r="V398" s="95">
        <f t="shared" si="56"/>
        <v>67922153.089655682</v>
      </c>
      <c r="W398" s="95">
        <f t="shared" si="57"/>
        <v>150000.00427500269</v>
      </c>
      <c r="X398" s="95">
        <f t="shared" si="58"/>
        <v>67772153.085380673</v>
      </c>
      <c r="Y398" s="95">
        <f t="shared" si="59"/>
        <v>68415229.01273872</v>
      </c>
      <c r="Z398" s="1"/>
      <c r="AA398" s="1"/>
      <c r="AB398" s="1"/>
      <c r="AC398" s="1"/>
      <c r="AD398" s="1"/>
      <c r="AE398" s="1"/>
      <c r="AF398" s="1"/>
      <c r="AG398" s="1"/>
      <c r="AH398" s="1"/>
    </row>
    <row r="399" spans="8:34" x14ac:dyDescent="0.35"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>
        <f t="shared" si="55"/>
        <v>344</v>
      </c>
      <c r="V399" s="95">
        <f t="shared" si="56"/>
        <v>68415229.01273872</v>
      </c>
      <c r="W399" s="95">
        <f t="shared" si="57"/>
        <v>150000.0042875027</v>
      </c>
      <c r="X399" s="95">
        <f t="shared" si="58"/>
        <v>68265229.008451223</v>
      </c>
      <c r="Y399" s="95">
        <f t="shared" si="59"/>
        <v>68912983.631144315</v>
      </c>
      <c r="Z399" s="1"/>
      <c r="AA399" s="1"/>
      <c r="AB399" s="1"/>
      <c r="AC399" s="1"/>
      <c r="AD399" s="1"/>
      <c r="AE399" s="1"/>
      <c r="AF399" s="1"/>
      <c r="AG399" s="1"/>
      <c r="AH399" s="1"/>
    </row>
    <row r="400" spans="8:34" x14ac:dyDescent="0.35"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>
        <f t="shared" si="55"/>
        <v>345</v>
      </c>
      <c r="V400" s="95">
        <f t="shared" si="56"/>
        <v>68912983.631144315</v>
      </c>
      <c r="W400" s="95">
        <f t="shared" si="57"/>
        <v>150000.00430000271</v>
      </c>
      <c r="X400" s="95">
        <f t="shared" si="58"/>
        <v>68762983.626844317</v>
      </c>
      <c r="Y400" s="95">
        <f t="shared" si="59"/>
        <v>69415461.34004356</v>
      </c>
      <c r="Z400" s="1"/>
      <c r="AA400" s="1"/>
      <c r="AB400" s="1"/>
      <c r="AC400" s="1"/>
      <c r="AD400" s="1"/>
      <c r="AE400" s="1"/>
      <c r="AF400" s="1"/>
      <c r="AG400" s="1"/>
      <c r="AH400" s="1"/>
    </row>
    <row r="401" spans="8:34" x14ac:dyDescent="0.35"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>
        <f t="shared" si="55"/>
        <v>346</v>
      </c>
      <c r="V401" s="95">
        <f t="shared" si="56"/>
        <v>69415461.34004356</v>
      </c>
      <c r="W401" s="95">
        <f t="shared" si="57"/>
        <v>150000.00431250272</v>
      </c>
      <c r="X401" s="95">
        <f t="shared" si="58"/>
        <v>69265461.335731059</v>
      </c>
      <c r="Y401" s="95">
        <f t="shared" si="59"/>
        <v>69922706.955864176</v>
      </c>
      <c r="Z401" s="1"/>
      <c r="AA401" s="1"/>
      <c r="AB401" s="1"/>
      <c r="AC401" s="1"/>
      <c r="AD401" s="1"/>
      <c r="AE401" s="1"/>
      <c r="AF401" s="1"/>
      <c r="AG401" s="1"/>
      <c r="AH401" s="1"/>
    </row>
    <row r="402" spans="8:34" x14ac:dyDescent="0.35"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>
        <f t="shared" si="55"/>
        <v>347</v>
      </c>
      <c r="V402" s="95">
        <f t="shared" si="56"/>
        <v>69922706.955864176</v>
      </c>
      <c r="W402" s="95">
        <f t="shared" si="57"/>
        <v>150000.00432500272</v>
      </c>
      <c r="X402" s="95">
        <f t="shared" si="58"/>
        <v>69772706.951539174</v>
      </c>
      <c r="Y402" s="95">
        <f t="shared" si="59"/>
        <v>70434765.720287666</v>
      </c>
      <c r="Z402" s="1"/>
      <c r="AA402" s="1"/>
      <c r="AB402" s="1"/>
      <c r="AC402" s="1"/>
      <c r="AD402" s="1"/>
      <c r="AE402" s="1"/>
      <c r="AF402" s="1"/>
      <c r="AG402" s="1"/>
      <c r="AH402" s="1"/>
    </row>
    <row r="403" spans="8:34" x14ac:dyDescent="0.35"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>
        <f t="shared" si="55"/>
        <v>348</v>
      </c>
      <c r="V403" s="95">
        <f t="shared" si="56"/>
        <v>70434765.720287666</v>
      </c>
      <c r="W403" s="95">
        <f t="shared" si="57"/>
        <v>150000.00433750273</v>
      </c>
      <c r="X403" s="95">
        <f t="shared" si="58"/>
        <v>70284765.715950161</v>
      </c>
      <c r="Y403" s="95">
        <f t="shared" si="59"/>
        <v>70951683.304284498</v>
      </c>
      <c r="Z403" s="1"/>
      <c r="AA403" s="1"/>
      <c r="AB403" s="1"/>
      <c r="AC403" s="1"/>
      <c r="AD403" s="1"/>
      <c r="AE403" s="1"/>
      <c r="AF403" s="1"/>
      <c r="AG403" s="1"/>
      <c r="AH403" s="1"/>
    </row>
    <row r="404" spans="8:34" x14ac:dyDescent="0.35"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>
        <f t="shared" si="55"/>
        <v>349</v>
      </c>
      <c r="V404" s="95">
        <f t="shared" si="56"/>
        <v>70951683.304284498</v>
      </c>
      <c r="W404" s="95">
        <f t="shared" si="57"/>
        <v>150000.00435000274</v>
      </c>
      <c r="X404" s="95">
        <f t="shared" si="58"/>
        <v>70801683.299934492</v>
      </c>
      <c r="Y404" s="95">
        <f t="shared" si="59"/>
        <v>71473505.812187493</v>
      </c>
      <c r="Z404" s="1"/>
      <c r="AA404" s="1"/>
      <c r="AB404" s="1"/>
      <c r="AC404" s="1"/>
      <c r="AD404" s="1"/>
      <c r="AE404" s="1"/>
      <c r="AF404" s="1"/>
      <c r="AG404" s="1"/>
      <c r="AH404" s="1"/>
    </row>
    <row r="405" spans="8:34" x14ac:dyDescent="0.35"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>
        <f t="shared" si="55"/>
        <v>350</v>
      </c>
      <c r="V405" s="95">
        <f t="shared" si="56"/>
        <v>71473505.812187493</v>
      </c>
      <c r="W405" s="95">
        <f t="shared" si="57"/>
        <v>150000.00436250275</v>
      </c>
      <c r="X405" s="95">
        <f t="shared" si="58"/>
        <v>71323505.807824984</v>
      </c>
      <c r="Y405" s="95">
        <f t="shared" si="59"/>
        <v>72000279.785803974</v>
      </c>
      <c r="Z405" s="1"/>
      <c r="AA405" s="1"/>
      <c r="AB405" s="1"/>
      <c r="AC405" s="1"/>
      <c r="AD405" s="1"/>
      <c r="AE405" s="1"/>
      <c r="AF405" s="1"/>
      <c r="AG405" s="1"/>
      <c r="AH405" s="1"/>
    </row>
    <row r="406" spans="8:34" x14ac:dyDescent="0.35"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>
        <f t="shared" si="55"/>
        <v>351</v>
      </c>
      <c r="V406" s="95">
        <f t="shared" si="56"/>
        <v>72000279.785803974</v>
      </c>
      <c r="W406" s="95">
        <f t="shared" si="57"/>
        <v>150000.00437500275</v>
      </c>
      <c r="X406" s="95">
        <f t="shared" si="58"/>
        <v>71850279.781428978</v>
      </c>
      <c r="Y406" s="95">
        <f t="shared" si="59"/>
        <v>72532052.208566815</v>
      </c>
      <c r="Z406" s="1"/>
      <c r="AA406" s="1"/>
      <c r="AB406" s="1"/>
      <c r="AC406" s="1"/>
      <c r="AD406" s="1"/>
      <c r="AE406" s="1"/>
      <c r="AF406" s="1"/>
      <c r="AG406" s="1"/>
      <c r="AH406" s="1"/>
    </row>
    <row r="407" spans="8:34" x14ac:dyDescent="0.35"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>
        <f t="shared" si="55"/>
        <v>352</v>
      </c>
      <c r="V407" s="95">
        <f t="shared" si="56"/>
        <v>72532052.208566815</v>
      </c>
      <c r="W407" s="95">
        <f t="shared" si="57"/>
        <v>150000.00438750276</v>
      </c>
      <c r="X407" s="95">
        <f t="shared" si="58"/>
        <v>72382052.204179317</v>
      </c>
      <c r="Y407" s="95">
        <f t="shared" si="59"/>
        <v>73068870.50972496</v>
      </c>
      <c r="Z407" s="1"/>
      <c r="AA407" s="1"/>
      <c r="AB407" s="1"/>
      <c r="AC407" s="1"/>
      <c r="AD407" s="1"/>
      <c r="AE407" s="1"/>
      <c r="AF407" s="1"/>
      <c r="AG407" s="1"/>
      <c r="AH407" s="1"/>
    </row>
    <row r="408" spans="8:34" x14ac:dyDescent="0.35"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>
        <f t="shared" si="55"/>
        <v>353</v>
      </c>
      <c r="V408" s="95">
        <f t="shared" si="56"/>
        <v>73068870.50972496</v>
      </c>
      <c r="W408" s="95">
        <f t="shared" si="57"/>
        <v>150000.00440000277</v>
      </c>
      <c r="X408" s="95">
        <f t="shared" si="58"/>
        <v>72918870.50532496</v>
      </c>
      <c r="Y408" s="95">
        <f t="shared" si="59"/>
        <v>73610782.568573669</v>
      </c>
      <c r="Z408" s="1"/>
      <c r="AA408" s="1"/>
      <c r="AB408" s="1"/>
      <c r="AC408" s="1"/>
      <c r="AD408" s="1"/>
      <c r="AE408" s="1"/>
      <c r="AF408" s="1"/>
      <c r="AG408" s="1"/>
      <c r="AH408" s="1"/>
    </row>
    <row r="409" spans="8:34" x14ac:dyDescent="0.35"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>
        <f t="shared" si="55"/>
        <v>354</v>
      </c>
      <c r="V409" s="95">
        <f t="shared" si="56"/>
        <v>73610782.568573669</v>
      </c>
      <c r="W409" s="95">
        <f t="shared" si="57"/>
        <v>150000.00441250278</v>
      </c>
      <c r="X409" s="95">
        <f t="shared" si="58"/>
        <v>73460782.564161167</v>
      </c>
      <c r="Y409" s="95">
        <f t="shared" si="59"/>
        <v>74157836.718724921</v>
      </c>
      <c r="Z409" s="1"/>
      <c r="AA409" s="1"/>
      <c r="AB409" s="1"/>
      <c r="AC409" s="1"/>
      <c r="AD409" s="1"/>
      <c r="AE409" s="1"/>
      <c r="AF409" s="1"/>
      <c r="AG409" s="1"/>
      <c r="AH409" s="1"/>
    </row>
    <row r="410" spans="8:34" x14ac:dyDescent="0.35"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>
        <f t="shared" si="55"/>
        <v>355</v>
      </c>
      <c r="V410" s="95">
        <f t="shared" si="56"/>
        <v>74157836.718724921</v>
      </c>
      <c r="W410" s="95">
        <f t="shared" si="57"/>
        <v>150000.00442500279</v>
      </c>
      <c r="X410" s="95">
        <f t="shared" si="58"/>
        <v>74007836.714299917</v>
      </c>
      <c r="Y410" s="95">
        <f t="shared" si="59"/>
        <v>74710081.752418339</v>
      </c>
      <c r="Z410" s="1"/>
      <c r="AA410" s="1"/>
      <c r="AB410" s="1"/>
      <c r="AC410" s="1"/>
      <c r="AD410" s="1"/>
      <c r="AE410" s="1"/>
      <c r="AF410" s="1"/>
      <c r="AG410" s="1"/>
      <c r="AH410" s="1"/>
    </row>
    <row r="411" spans="8:34" x14ac:dyDescent="0.35"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>
        <f t="shared" si="55"/>
        <v>356</v>
      </c>
      <c r="V411" s="95">
        <f t="shared" si="56"/>
        <v>74710081.752418339</v>
      </c>
      <c r="W411" s="95">
        <f t="shared" si="57"/>
        <v>150000.00443750279</v>
      </c>
      <c r="X411" s="95">
        <f t="shared" si="58"/>
        <v>74560081.747980833</v>
      </c>
      <c r="Y411" s="95">
        <f t="shared" si="59"/>
        <v>75267566.924873009</v>
      </c>
      <c r="Z411" s="1"/>
      <c r="AA411" s="1"/>
      <c r="AB411" s="1"/>
      <c r="AC411" s="1"/>
      <c r="AD411" s="1"/>
      <c r="AE411" s="1"/>
      <c r="AF411" s="1"/>
      <c r="AG411" s="1"/>
      <c r="AH411" s="1"/>
    </row>
    <row r="412" spans="8:34" x14ac:dyDescent="0.35"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>
        <f t="shared" si="55"/>
        <v>357</v>
      </c>
      <c r="V412" s="95">
        <f t="shared" si="56"/>
        <v>75267566.924873009</v>
      </c>
      <c r="W412" s="95">
        <f t="shared" si="57"/>
        <v>150000.0044500028</v>
      </c>
      <c r="X412" s="95">
        <f t="shared" si="58"/>
        <v>75117566.920423001</v>
      </c>
      <c r="Y412" s="95">
        <f t="shared" si="59"/>
        <v>75830341.958680585</v>
      </c>
      <c r="Z412" s="1"/>
      <c r="AA412" s="1"/>
      <c r="AB412" s="1"/>
      <c r="AC412" s="1"/>
      <c r="AD412" s="1"/>
      <c r="AE412" s="1"/>
      <c r="AF412" s="1"/>
      <c r="AG412" s="1"/>
      <c r="AH412" s="1"/>
    </row>
    <row r="413" spans="8:34" x14ac:dyDescent="0.35"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>
        <f t="shared" si="55"/>
        <v>358</v>
      </c>
      <c r="V413" s="95">
        <f t="shared" si="56"/>
        <v>75830341.958680585</v>
      </c>
      <c r="W413" s="95">
        <f t="shared" si="57"/>
        <v>150000.00446250281</v>
      </c>
      <c r="X413" s="95">
        <f t="shared" si="58"/>
        <v>75680341.95421809</v>
      </c>
      <c r="Y413" s="95">
        <f t="shared" si="59"/>
        <v>76398457.04824011</v>
      </c>
      <c r="Z413" s="1"/>
      <c r="AA413" s="1"/>
      <c r="AB413" s="1"/>
      <c r="AC413" s="1"/>
      <c r="AD413" s="1"/>
      <c r="AE413" s="1"/>
      <c r="AF413" s="1"/>
      <c r="AG413" s="1"/>
      <c r="AH413" s="1"/>
    </row>
    <row r="414" spans="8:34" x14ac:dyDescent="0.35"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>
        <f t="shared" si="55"/>
        <v>359</v>
      </c>
      <c r="V414" s="95">
        <f t="shared" si="56"/>
        <v>76398457.04824011</v>
      </c>
      <c r="W414" s="95">
        <f t="shared" si="57"/>
        <v>150000.00447500282</v>
      </c>
      <c r="X414" s="95">
        <f t="shared" si="58"/>
        <v>76248457.043765113</v>
      </c>
      <c r="Y414" s="95">
        <f t="shared" si="59"/>
        <v>76971962.86423485</v>
      </c>
      <c r="Z414" s="1"/>
      <c r="AA414" s="1"/>
      <c r="AB414" s="1"/>
      <c r="AC414" s="1"/>
      <c r="AD414" s="1"/>
      <c r="AE414" s="1"/>
      <c r="AF414" s="1"/>
      <c r="AG414" s="1"/>
      <c r="AH414" s="1"/>
    </row>
    <row r="415" spans="8:34" x14ac:dyDescent="0.35"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>
        <f t="shared" si="55"/>
        <v>360</v>
      </c>
      <c r="V415" s="95">
        <f t="shared" si="56"/>
        <v>76971962.86423485</v>
      </c>
      <c r="W415" s="95">
        <f t="shared" si="57"/>
        <v>150000.00448750283</v>
      </c>
      <c r="X415" s="95">
        <f t="shared" si="58"/>
        <v>76821962.85974735</v>
      </c>
      <c r="Y415" s="95">
        <f t="shared" si="59"/>
        <v>77550910.558151722</v>
      </c>
      <c r="Z415" s="1"/>
      <c r="AA415" s="1"/>
      <c r="AB415" s="1"/>
      <c r="AC415" s="1"/>
      <c r="AD415" s="1"/>
      <c r="AE415" s="1"/>
      <c r="AF415" s="1"/>
      <c r="AG415" s="1"/>
      <c r="AH415" s="1"/>
    </row>
    <row r="416" spans="8:34" x14ac:dyDescent="0.35"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>
        <f t="shared" si="55"/>
        <v>361</v>
      </c>
      <c r="V416" s="95">
        <f t="shared" si="56"/>
        <v>77550910.558151722</v>
      </c>
      <c r="W416" s="95">
        <f t="shared" si="57"/>
        <v>150000.00450000283</v>
      </c>
      <c r="X416" s="95">
        <f t="shared" si="58"/>
        <v>77400910.55365172</v>
      </c>
      <c r="Y416" s="95">
        <f t="shared" si="59"/>
        <v>78135351.766843498</v>
      </c>
      <c r="Z416" s="1"/>
      <c r="AA416" s="1"/>
      <c r="AB416" s="1"/>
      <c r="AC416" s="1"/>
      <c r="AD416" s="1"/>
      <c r="AE416" s="1"/>
      <c r="AF416" s="1"/>
      <c r="AG416" s="1"/>
      <c r="AH416" s="1"/>
    </row>
    <row r="417" spans="8:34" x14ac:dyDescent="0.35"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>
        <f t="shared" si="55"/>
        <v>362</v>
      </c>
      <c r="V417" s="95">
        <f t="shared" si="56"/>
        <v>78135351.766843498</v>
      </c>
      <c r="W417" s="95">
        <f t="shared" si="57"/>
        <v>150000.00451250284</v>
      </c>
      <c r="X417" s="95">
        <f t="shared" si="58"/>
        <v>77985351.762330994</v>
      </c>
      <c r="Y417" s="95">
        <f t="shared" si="59"/>
        <v>78725338.617134377</v>
      </c>
      <c r="Z417" s="1"/>
      <c r="AA417" s="1"/>
      <c r="AB417" s="1"/>
      <c r="AC417" s="1"/>
      <c r="AD417" s="1"/>
      <c r="AE417" s="1"/>
      <c r="AF417" s="1"/>
      <c r="AG417" s="1"/>
      <c r="AH417" s="1"/>
    </row>
    <row r="418" spans="8:34" x14ac:dyDescent="0.35"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>
        <f t="shared" si="55"/>
        <v>363</v>
      </c>
      <c r="V418" s="95">
        <f t="shared" si="56"/>
        <v>78725338.617134377</v>
      </c>
      <c r="W418" s="95">
        <f t="shared" si="57"/>
        <v>150000.00452500285</v>
      </c>
      <c r="X418" s="95">
        <f t="shared" si="58"/>
        <v>78575338.612609372</v>
      </c>
      <c r="Y418" s="95">
        <f t="shared" si="59"/>
        <v>79320923.730469167</v>
      </c>
      <c r="Z418" s="1"/>
      <c r="AA418" s="1"/>
      <c r="AB418" s="1"/>
      <c r="AC418" s="1"/>
      <c r="AD418" s="1"/>
      <c r="AE418" s="1"/>
      <c r="AF418" s="1"/>
      <c r="AG418" s="1"/>
      <c r="AH418" s="1"/>
    </row>
    <row r="419" spans="8:34" x14ac:dyDescent="0.35"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>
        <f t="shared" si="55"/>
        <v>364</v>
      </c>
      <c r="V419" s="95">
        <f t="shared" si="56"/>
        <v>79320923.730469167</v>
      </c>
      <c r="W419" s="95">
        <f t="shared" si="57"/>
        <v>150000.00453750286</v>
      </c>
      <c r="X419" s="95">
        <f t="shared" si="58"/>
        <v>79170923.725931659</v>
      </c>
      <c r="Y419" s="95">
        <f t="shared" si="59"/>
        <v>79922160.227606699</v>
      </c>
      <c r="Z419" s="1"/>
      <c r="AA419" s="1"/>
      <c r="AB419" s="1"/>
      <c r="AC419" s="1"/>
      <c r="AD419" s="1"/>
      <c r="AE419" s="1"/>
      <c r="AF419" s="1"/>
      <c r="AG419" s="1"/>
      <c r="AH419" s="1"/>
    </row>
    <row r="420" spans="8:34" x14ac:dyDescent="0.35"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>
        <f t="shared" si="55"/>
        <v>365</v>
      </c>
      <c r="V420" s="95">
        <f t="shared" si="56"/>
        <v>79922160.227606699</v>
      </c>
      <c r="W420" s="95">
        <f t="shared" si="57"/>
        <v>150000.00455000286</v>
      </c>
      <c r="X420" s="95">
        <f t="shared" si="58"/>
        <v>79772160.223056689</v>
      </c>
      <c r="Y420" s="95">
        <f t="shared" si="59"/>
        <v>80529101.733357653</v>
      </c>
      <c r="Z420" s="1"/>
      <c r="AA420" s="1"/>
      <c r="AB420" s="1"/>
      <c r="AC420" s="1"/>
      <c r="AD420" s="1"/>
      <c r="AE420" s="1"/>
      <c r="AF420" s="1"/>
      <c r="AG420" s="1"/>
      <c r="AH420" s="1"/>
    </row>
    <row r="421" spans="8:34" x14ac:dyDescent="0.35"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>
        <f t="shared" si="55"/>
        <v>366</v>
      </c>
      <c r="V421" s="95">
        <f t="shared" si="56"/>
        <v>80529101.733357653</v>
      </c>
      <c r="W421" s="95">
        <f t="shared" si="57"/>
        <v>150000.00456250287</v>
      </c>
      <c r="X421" s="95">
        <f t="shared" si="58"/>
        <v>80379101.728795156</v>
      </c>
      <c r="Y421" s="95">
        <f t="shared" si="59"/>
        <v>81141802.381367475</v>
      </c>
      <c r="Z421" s="1"/>
      <c r="AA421" s="1"/>
      <c r="AB421" s="1"/>
      <c r="AC421" s="1"/>
      <c r="AD421" s="1"/>
      <c r="AE421" s="1"/>
      <c r="AF421" s="1"/>
      <c r="AG421" s="1"/>
      <c r="AH421" s="1"/>
    </row>
    <row r="422" spans="8:34" x14ac:dyDescent="0.35"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>
        <f t="shared" si="55"/>
        <v>367</v>
      </c>
      <c r="V422" s="95">
        <f t="shared" si="56"/>
        <v>81141802.381367475</v>
      </c>
      <c r="W422" s="95">
        <f t="shared" si="57"/>
        <v>150000.00457500288</v>
      </c>
      <c r="X422" s="95">
        <f t="shared" si="58"/>
        <v>80991802.376792476</v>
      </c>
      <c r="Y422" s="95">
        <f t="shared" si="59"/>
        <v>81760316.818944529</v>
      </c>
      <c r="Z422" s="1"/>
      <c r="AA422" s="1"/>
      <c r="AB422" s="1"/>
      <c r="AC422" s="1"/>
      <c r="AD422" s="1"/>
      <c r="AE422" s="1"/>
      <c r="AF422" s="1"/>
      <c r="AG422" s="1"/>
      <c r="AH422" s="1"/>
    </row>
    <row r="423" spans="8:34" x14ac:dyDescent="0.35"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>
        <f t="shared" si="55"/>
        <v>368</v>
      </c>
      <c r="V423" s="95">
        <f t="shared" si="56"/>
        <v>81760316.818944529</v>
      </c>
      <c r="W423" s="95">
        <f t="shared" si="57"/>
        <v>150000.00458750289</v>
      </c>
      <c r="X423" s="95">
        <f t="shared" si="58"/>
        <v>81610316.814357027</v>
      </c>
      <c r="Y423" s="95">
        <f t="shared" si="59"/>
        <v>82384700.211934179</v>
      </c>
      <c r="Z423" s="1"/>
      <c r="AA423" s="1"/>
      <c r="AB423" s="1"/>
      <c r="AC423" s="1"/>
      <c r="AD423" s="1"/>
      <c r="AE423" s="1"/>
      <c r="AF423" s="1"/>
      <c r="AG423" s="1"/>
      <c r="AH423" s="1"/>
    </row>
    <row r="424" spans="8:34" x14ac:dyDescent="0.35"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>
        <f t="shared" si="55"/>
        <v>369</v>
      </c>
      <c r="V424" s="95">
        <f t="shared" si="56"/>
        <v>82384700.211934179</v>
      </c>
      <c r="W424" s="95">
        <f t="shared" si="57"/>
        <v>150000.0046000029</v>
      </c>
      <c r="X424" s="95">
        <f t="shared" si="58"/>
        <v>82234700.207334176</v>
      </c>
      <c r="Y424" s="95">
        <f t="shared" si="59"/>
        <v>83015008.249639079</v>
      </c>
      <c r="Z424" s="1"/>
      <c r="AA424" s="1"/>
      <c r="AB424" s="1"/>
      <c r="AC424" s="1"/>
      <c r="AD424" s="1"/>
      <c r="AE424" s="1"/>
      <c r="AF424" s="1"/>
      <c r="AG424" s="1"/>
      <c r="AH424" s="1"/>
    </row>
    <row r="425" spans="8:34" x14ac:dyDescent="0.35"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>
        <f t="shared" si="55"/>
        <v>370</v>
      </c>
      <c r="V425" s="95">
        <f t="shared" si="56"/>
        <v>83015008.249639079</v>
      </c>
      <c r="W425" s="95">
        <f t="shared" si="57"/>
        <v>150000.0046125029</v>
      </c>
      <c r="X425" s="95">
        <f t="shared" si="58"/>
        <v>82865008.245026574</v>
      </c>
      <c r="Y425" s="95">
        <f t="shared" si="59"/>
        <v>83651297.149786144</v>
      </c>
      <c r="Z425" s="1"/>
      <c r="AA425" s="1"/>
      <c r="AB425" s="1"/>
      <c r="AC425" s="1"/>
      <c r="AD425" s="1"/>
      <c r="AE425" s="1"/>
      <c r="AF425" s="1"/>
      <c r="AG425" s="1"/>
      <c r="AH425" s="1"/>
    </row>
    <row r="426" spans="8:34" x14ac:dyDescent="0.35"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>
        <f t="shared" si="55"/>
        <v>371</v>
      </c>
      <c r="V426" s="95">
        <f t="shared" si="56"/>
        <v>83651297.149786144</v>
      </c>
      <c r="W426" s="95">
        <f t="shared" si="57"/>
        <v>150000.00462500291</v>
      </c>
      <c r="X426" s="95">
        <f t="shared" si="58"/>
        <v>83501297.145161137</v>
      </c>
      <c r="Y426" s="95">
        <f t="shared" si="59"/>
        <v>84293623.663540661</v>
      </c>
      <c r="Z426" s="1"/>
      <c r="AA426" s="1"/>
      <c r="AB426" s="1"/>
      <c r="AC426" s="1"/>
      <c r="AD426" s="1"/>
      <c r="AE426" s="1"/>
      <c r="AF426" s="1"/>
      <c r="AG426" s="1"/>
      <c r="AH426" s="1"/>
    </row>
    <row r="427" spans="8:34" x14ac:dyDescent="0.35"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>
        <f t="shared" si="55"/>
        <v>372</v>
      </c>
      <c r="V427" s="95">
        <f t="shared" si="56"/>
        <v>84293623.663540661</v>
      </c>
      <c r="W427" s="95">
        <f t="shared" si="57"/>
        <v>150000.00463750292</v>
      </c>
      <c r="X427" s="95">
        <f t="shared" si="58"/>
        <v>84143623.658903152</v>
      </c>
      <c r="Y427" s="95">
        <f t="shared" si="59"/>
        <v>84942045.080567971</v>
      </c>
      <c r="Z427" s="1"/>
      <c r="AA427" s="1"/>
      <c r="AB427" s="1"/>
      <c r="AC427" s="1"/>
      <c r="AD427" s="1"/>
      <c r="AE427" s="1"/>
      <c r="AF427" s="1"/>
      <c r="AG427" s="1"/>
      <c r="AH427" s="1"/>
    </row>
    <row r="428" spans="8:34" x14ac:dyDescent="0.35"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>
        <f t="shared" si="55"/>
        <v>373</v>
      </c>
      <c r="V428" s="95">
        <f t="shared" si="56"/>
        <v>84942045.080567971</v>
      </c>
      <c r="W428" s="95">
        <f t="shared" si="57"/>
        <v>150000.00465000293</v>
      </c>
      <c r="X428" s="95">
        <f t="shared" si="58"/>
        <v>84792045.075917974</v>
      </c>
      <c r="Y428" s="95">
        <f t="shared" si="59"/>
        <v>85596619.234143198</v>
      </c>
      <c r="Z428" s="1"/>
      <c r="AA428" s="1"/>
      <c r="AB428" s="1"/>
      <c r="AC428" s="1"/>
      <c r="AD428" s="1"/>
      <c r="AE428" s="1"/>
      <c r="AF428" s="1"/>
      <c r="AG428" s="1"/>
      <c r="AH428" s="1"/>
    </row>
    <row r="429" spans="8:34" x14ac:dyDescent="0.35"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>
        <f t="shared" si="55"/>
        <v>374</v>
      </c>
      <c r="V429" s="95">
        <f t="shared" si="56"/>
        <v>85596619.234143198</v>
      </c>
      <c r="W429" s="95">
        <f t="shared" si="57"/>
        <v>150000.00466250294</v>
      </c>
      <c r="X429" s="95">
        <f t="shared" si="58"/>
        <v>85446619.229480699</v>
      </c>
      <c r="Y429" s="95">
        <f t="shared" si="59"/>
        <v>86257404.506309405</v>
      </c>
      <c r="Z429" s="1"/>
      <c r="AA429" s="1"/>
      <c r="AB429" s="1"/>
      <c r="AC429" s="1"/>
      <c r="AD429" s="1"/>
      <c r="AE429" s="1"/>
      <c r="AF429" s="1"/>
      <c r="AG429" s="1"/>
      <c r="AH429" s="1"/>
    </row>
    <row r="430" spans="8:34" x14ac:dyDescent="0.35"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>
        <f t="shared" si="55"/>
        <v>375</v>
      </c>
      <c r="V430" s="95">
        <f t="shared" si="56"/>
        <v>86257404.506309405</v>
      </c>
      <c r="W430" s="95">
        <f t="shared" si="57"/>
        <v>150000.00467500294</v>
      </c>
      <c r="X430" s="95">
        <f t="shared" si="58"/>
        <v>86107404.501634404</v>
      </c>
      <c r="Y430" s="95">
        <f t="shared" si="59"/>
        <v>86924459.833084792</v>
      </c>
      <c r="Z430" s="1"/>
      <c r="AA430" s="1"/>
      <c r="AB430" s="1"/>
      <c r="AC430" s="1"/>
      <c r="AD430" s="1"/>
      <c r="AE430" s="1"/>
      <c r="AF430" s="1"/>
      <c r="AG430" s="1"/>
      <c r="AH430" s="1"/>
    </row>
    <row r="431" spans="8:34" x14ac:dyDescent="0.35"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>
        <f t="shared" si="55"/>
        <v>376</v>
      </c>
      <c r="V431" s="95">
        <f t="shared" si="56"/>
        <v>86924459.833084792</v>
      </c>
      <c r="W431" s="95">
        <f t="shared" si="57"/>
        <v>150000.00468750295</v>
      </c>
      <c r="X431" s="95">
        <f t="shared" si="58"/>
        <v>86774459.828397289</v>
      </c>
      <c r="Y431" s="95">
        <f t="shared" si="59"/>
        <v>87597844.709719241</v>
      </c>
      <c r="Z431" s="1"/>
      <c r="AA431" s="1"/>
      <c r="AB431" s="1"/>
      <c r="AC431" s="1"/>
      <c r="AD431" s="1"/>
      <c r="AE431" s="1"/>
      <c r="AF431" s="1"/>
      <c r="AG431" s="1"/>
      <c r="AH431" s="1"/>
    </row>
    <row r="432" spans="8:34" x14ac:dyDescent="0.35"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>
        <f t="shared" si="55"/>
        <v>377</v>
      </c>
      <c r="V432" s="95">
        <f t="shared" si="56"/>
        <v>87597844.709719241</v>
      </c>
      <c r="W432" s="95">
        <f t="shared" si="57"/>
        <v>150000.00470000296</v>
      </c>
      <c r="X432" s="95">
        <f t="shared" si="58"/>
        <v>87447844.705019236</v>
      </c>
      <c r="Y432" s="95">
        <f t="shared" si="59"/>
        <v>88277619.19600074</v>
      </c>
      <c r="Z432" s="1"/>
      <c r="AA432" s="1"/>
      <c r="AB432" s="1"/>
      <c r="AC432" s="1"/>
      <c r="AD432" s="1"/>
      <c r="AE432" s="1"/>
      <c r="AF432" s="1"/>
      <c r="AG432" s="1"/>
      <c r="AH432" s="1"/>
    </row>
    <row r="433" spans="8:34" x14ac:dyDescent="0.35"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>
        <f t="shared" si="55"/>
        <v>378</v>
      </c>
      <c r="V433" s="95">
        <f t="shared" si="56"/>
        <v>88277619.19600074</v>
      </c>
      <c r="W433" s="95">
        <f t="shared" si="57"/>
        <v>150000.00471250297</v>
      </c>
      <c r="X433" s="95">
        <f t="shared" si="58"/>
        <v>88127619.191288233</v>
      </c>
      <c r="Y433" s="95">
        <f t="shared" si="59"/>
        <v>88963843.921612158</v>
      </c>
      <c r="Z433" s="1"/>
      <c r="AA433" s="1"/>
      <c r="AB433" s="1"/>
      <c r="AC433" s="1"/>
      <c r="AD433" s="1"/>
      <c r="AE433" s="1"/>
      <c r="AF433" s="1"/>
      <c r="AG433" s="1"/>
      <c r="AH433" s="1"/>
    </row>
    <row r="434" spans="8:34" x14ac:dyDescent="0.35"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>
        <f t="shared" si="55"/>
        <v>379</v>
      </c>
      <c r="V434" s="95">
        <f t="shared" si="56"/>
        <v>88963843.921612158</v>
      </c>
      <c r="W434" s="95">
        <f t="shared" si="57"/>
        <v>150000.00472500297</v>
      </c>
      <c r="X434" s="95">
        <f t="shared" si="58"/>
        <v>88813843.916887149</v>
      </c>
      <c r="Y434" s="95">
        <f t="shared" si="59"/>
        <v>89656580.091538876</v>
      </c>
      <c r="Z434" s="1"/>
      <c r="AA434" s="1"/>
      <c r="AB434" s="1"/>
      <c r="AC434" s="1"/>
      <c r="AD434" s="1"/>
      <c r="AE434" s="1"/>
      <c r="AF434" s="1"/>
      <c r="AG434" s="1"/>
      <c r="AH434" s="1"/>
    </row>
    <row r="435" spans="8:34" x14ac:dyDescent="0.35"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>
        <f t="shared" si="55"/>
        <v>380</v>
      </c>
      <c r="V435" s="95">
        <f t="shared" si="56"/>
        <v>89656580.091538876</v>
      </c>
      <c r="W435" s="95">
        <f t="shared" si="57"/>
        <v>150000.00473750298</v>
      </c>
      <c r="X435" s="95">
        <f t="shared" si="58"/>
        <v>89506580.08680138</v>
      </c>
      <c r="Y435" s="95">
        <f t="shared" si="59"/>
        <v>90355889.491527706</v>
      </c>
      <c r="Z435" s="1"/>
      <c r="AA435" s="1"/>
      <c r="AB435" s="1"/>
      <c r="AC435" s="1"/>
      <c r="AD435" s="1"/>
      <c r="AE435" s="1"/>
      <c r="AF435" s="1"/>
      <c r="AG435" s="1"/>
      <c r="AH435" s="1"/>
    </row>
    <row r="436" spans="8:34" x14ac:dyDescent="0.35"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>
        <f t="shared" si="55"/>
        <v>381</v>
      </c>
      <c r="V436" s="95">
        <f t="shared" si="56"/>
        <v>90355889.491527706</v>
      </c>
      <c r="W436" s="95">
        <f t="shared" si="57"/>
        <v>150000.00475000299</v>
      </c>
      <c r="X436" s="95">
        <f t="shared" si="58"/>
        <v>90205889.486777708</v>
      </c>
      <c r="Y436" s="95">
        <f t="shared" si="59"/>
        <v>91061834.493597627</v>
      </c>
      <c r="Z436" s="1"/>
      <c r="AA436" s="1"/>
      <c r="AB436" s="1"/>
      <c r="AC436" s="1"/>
      <c r="AD436" s="1"/>
      <c r="AE436" s="1"/>
      <c r="AF436" s="1"/>
      <c r="AG436" s="1"/>
      <c r="AH436" s="1"/>
    </row>
    <row r="437" spans="8:34" x14ac:dyDescent="0.35"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>
        <f t="shared" si="55"/>
        <v>382</v>
      </c>
      <c r="V437" s="95">
        <f t="shared" si="56"/>
        <v>91061834.493597627</v>
      </c>
      <c r="W437" s="95">
        <f t="shared" si="57"/>
        <v>150000.004762503</v>
      </c>
      <c r="X437" s="95">
        <f t="shared" si="58"/>
        <v>90911834.488835126</v>
      </c>
      <c r="Y437" s="95">
        <f t="shared" si="59"/>
        <v>91774478.061602771</v>
      </c>
      <c r="Z437" s="1"/>
      <c r="AA437" s="1"/>
      <c r="AB437" s="1"/>
      <c r="AC437" s="1"/>
      <c r="AD437" s="1"/>
      <c r="AE437" s="1"/>
      <c r="AF437" s="1"/>
      <c r="AG437" s="1"/>
      <c r="AH437" s="1"/>
    </row>
    <row r="438" spans="8:34" x14ac:dyDescent="0.35"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>
        <f t="shared" si="55"/>
        <v>383</v>
      </c>
      <c r="V438" s="95">
        <f t="shared" si="56"/>
        <v>91774478.061602771</v>
      </c>
      <c r="W438" s="95">
        <f t="shared" si="57"/>
        <v>150000.00477500301</v>
      </c>
      <c r="X438" s="95">
        <f t="shared" si="58"/>
        <v>91624478.056827769</v>
      </c>
      <c r="Y438" s="95">
        <f t="shared" si="59"/>
        <v>92493883.756848261</v>
      </c>
      <c r="Z438" s="1"/>
      <c r="AA438" s="1"/>
      <c r="AB438" s="1"/>
      <c r="AC438" s="1"/>
      <c r="AD438" s="1"/>
      <c r="AE438" s="1"/>
      <c r="AF438" s="1"/>
      <c r="AG438" s="1"/>
      <c r="AH438" s="1"/>
    </row>
    <row r="439" spans="8:34" x14ac:dyDescent="0.35"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>
        <f t="shared" si="55"/>
        <v>384</v>
      </c>
      <c r="V439" s="95">
        <f t="shared" si="56"/>
        <v>92493883.756848261</v>
      </c>
      <c r="W439" s="95">
        <f t="shared" si="57"/>
        <v>150000.00478750301</v>
      </c>
      <c r="X439" s="95">
        <f t="shared" si="58"/>
        <v>92343883.752060756</v>
      </c>
      <c r="Y439" s="95">
        <f t="shared" si="59"/>
        <v>93220115.743759274</v>
      </c>
      <c r="Z439" s="1"/>
      <c r="AA439" s="1"/>
      <c r="AB439" s="1"/>
      <c r="AC439" s="1"/>
      <c r="AD439" s="1"/>
      <c r="AE439" s="1"/>
      <c r="AF439" s="1"/>
      <c r="AG439" s="1"/>
      <c r="AH439" s="1"/>
    </row>
    <row r="440" spans="8:34" x14ac:dyDescent="0.35"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>
        <f t="shared" si="55"/>
        <v>385</v>
      </c>
      <c r="V440" s="95">
        <f t="shared" si="56"/>
        <v>93220115.743759274</v>
      </c>
      <c r="W440" s="95">
        <f t="shared" si="57"/>
        <v>150000.00480000302</v>
      </c>
      <c r="X440" s="95">
        <f t="shared" si="58"/>
        <v>93070115.738959268</v>
      </c>
      <c r="Y440" s="95">
        <f t="shared" si="59"/>
        <v>93953238.795603931</v>
      </c>
      <c r="Z440" s="1"/>
      <c r="AA440" s="1"/>
      <c r="AB440" s="1"/>
      <c r="AC440" s="1"/>
      <c r="AD440" s="1"/>
      <c r="AE440" s="1"/>
      <c r="AF440" s="1"/>
      <c r="AG440" s="1"/>
      <c r="AH440" s="1"/>
    </row>
    <row r="441" spans="8:34" x14ac:dyDescent="0.35"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>
        <f t="shared" si="55"/>
        <v>386</v>
      </c>
      <c r="V441" s="95">
        <f t="shared" si="56"/>
        <v>93953238.795603931</v>
      </c>
      <c r="W441" s="95">
        <f t="shared" si="57"/>
        <v>150000.00481250303</v>
      </c>
      <c r="X441" s="95">
        <f t="shared" si="58"/>
        <v>93803238.790791422</v>
      </c>
      <c r="Y441" s="95">
        <f t="shared" si="59"/>
        <v>94693318.300270483</v>
      </c>
      <c r="Z441" s="1"/>
      <c r="AA441" s="1"/>
      <c r="AB441" s="1"/>
      <c r="AC441" s="1"/>
      <c r="AD441" s="1"/>
      <c r="AE441" s="1"/>
      <c r="AF441" s="1"/>
      <c r="AG441" s="1"/>
      <c r="AH441" s="1"/>
    </row>
    <row r="442" spans="8:34" x14ac:dyDescent="0.35"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>
        <f t="shared" ref="U442:U505" si="60">U441+1</f>
        <v>387</v>
      </c>
      <c r="V442" s="95">
        <f t="shared" ref="V442:V505" si="61">Y441</f>
        <v>94693318.300270483</v>
      </c>
      <c r="W442" s="95">
        <f t="shared" ref="W442:W505" si="62">W441+W441*($F$15/12)</f>
        <v>150000.00482500304</v>
      </c>
      <c r="X442" s="95">
        <f t="shared" ref="X442:X505" si="63">V442-W442</f>
        <v>94543318.295445487</v>
      </c>
      <c r="Y442" s="95">
        <f t="shared" ref="Y442:Y505" si="64">X442+(X442*($K$9/12))</f>
        <v>95440420.266099349</v>
      </c>
      <c r="Z442" s="1"/>
      <c r="AA442" s="1"/>
      <c r="AB442" s="1"/>
      <c r="AC442" s="1"/>
      <c r="AD442" s="1"/>
      <c r="AE442" s="1"/>
      <c r="AF442" s="1"/>
      <c r="AG442" s="1"/>
      <c r="AH442" s="1"/>
    </row>
    <row r="443" spans="8:34" x14ac:dyDescent="0.35"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>
        <f t="shared" si="60"/>
        <v>388</v>
      </c>
      <c r="V443" s="95">
        <f t="shared" si="61"/>
        <v>95440420.266099349</v>
      </c>
      <c r="W443" s="95">
        <f t="shared" si="62"/>
        <v>150000.00483750305</v>
      </c>
      <c r="X443" s="95">
        <f t="shared" si="63"/>
        <v>95290420.261261851</v>
      </c>
      <c r="Y443" s="95">
        <f t="shared" si="64"/>
        <v>96194611.327770367</v>
      </c>
      <c r="Z443" s="1"/>
      <c r="AA443" s="1"/>
      <c r="AB443" s="1"/>
      <c r="AC443" s="1"/>
      <c r="AD443" s="1"/>
      <c r="AE443" s="1"/>
      <c r="AF443" s="1"/>
      <c r="AG443" s="1"/>
      <c r="AH443" s="1"/>
    </row>
    <row r="444" spans="8:34" x14ac:dyDescent="0.35"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>
        <f t="shared" si="60"/>
        <v>389</v>
      </c>
      <c r="V444" s="95">
        <f t="shared" si="61"/>
        <v>96194611.327770367</v>
      </c>
      <c r="W444" s="95">
        <f t="shared" si="62"/>
        <v>150000.00485000305</v>
      </c>
      <c r="X444" s="95">
        <f t="shared" si="63"/>
        <v>96044611.322920367</v>
      </c>
      <c r="Y444" s="95">
        <f t="shared" si="64"/>
        <v>96955958.752246067</v>
      </c>
      <c r="Z444" s="1"/>
      <c r="AA444" s="1"/>
      <c r="AB444" s="1"/>
      <c r="AC444" s="1"/>
      <c r="AD444" s="1"/>
      <c r="AE444" s="1"/>
      <c r="AF444" s="1"/>
      <c r="AG444" s="1"/>
      <c r="AH444" s="1"/>
    </row>
    <row r="445" spans="8:34" x14ac:dyDescent="0.35"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>
        <f t="shared" si="60"/>
        <v>390</v>
      </c>
      <c r="V445" s="95">
        <f t="shared" si="61"/>
        <v>96955958.752246067</v>
      </c>
      <c r="W445" s="95">
        <f t="shared" si="62"/>
        <v>150000.00486250306</v>
      </c>
      <c r="X445" s="95">
        <f t="shared" si="63"/>
        <v>96805958.747383565</v>
      </c>
      <c r="Y445" s="95">
        <f t="shared" si="64"/>
        <v>97724530.444771275</v>
      </c>
      <c r="Z445" s="1"/>
      <c r="AA445" s="1"/>
      <c r="AB445" s="1"/>
      <c r="AC445" s="1"/>
      <c r="AD445" s="1"/>
      <c r="AE445" s="1"/>
      <c r="AF445" s="1"/>
      <c r="AG445" s="1"/>
      <c r="AH445" s="1"/>
    </row>
    <row r="446" spans="8:34" x14ac:dyDescent="0.35"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>
        <f t="shared" si="60"/>
        <v>391</v>
      </c>
      <c r="V446" s="95">
        <f t="shared" si="61"/>
        <v>97724530.444771275</v>
      </c>
      <c r="W446" s="95">
        <f t="shared" si="62"/>
        <v>150000.00487500307</v>
      </c>
      <c r="X446" s="95">
        <f t="shared" si="63"/>
        <v>97574530.439896271</v>
      </c>
      <c r="Y446" s="95">
        <f t="shared" si="64"/>
        <v>98500394.95492962</v>
      </c>
      <c r="Z446" s="1"/>
      <c r="AA446" s="1"/>
      <c r="AB446" s="1"/>
      <c r="AC446" s="1"/>
      <c r="AD446" s="1"/>
      <c r="AE446" s="1"/>
      <c r="AF446" s="1"/>
      <c r="AG446" s="1"/>
      <c r="AH446" s="1"/>
    </row>
    <row r="447" spans="8:34" x14ac:dyDescent="0.35"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>
        <f t="shared" si="60"/>
        <v>392</v>
      </c>
      <c r="V447" s="95">
        <f t="shared" si="61"/>
        <v>98500394.95492962</v>
      </c>
      <c r="W447" s="95">
        <f t="shared" si="62"/>
        <v>150000.00488750308</v>
      </c>
      <c r="X447" s="95">
        <f t="shared" si="63"/>
        <v>98350394.950042114</v>
      </c>
      <c r="Y447" s="95">
        <f t="shared" si="64"/>
        <v>99283621.482757524</v>
      </c>
      <c r="Z447" s="1"/>
      <c r="AA447" s="1"/>
      <c r="AB447" s="1"/>
      <c r="AC447" s="1"/>
      <c r="AD447" s="1"/>
      <c r="AE447" s="1"/>
      <c r="AF447" s="1"/>
      <c r="AG447" s="1"/>
      <c r="AH447" s="1"/>
    </row>
    <row r="448" spans="8:34" x14ac:dyDescent="0.35"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>
        <f t="shared" si="60"/>
        <v>393</v>
      </c>
      <c r="V448" s="95">
        <f t="shared" si="61"/>
        <v>99283621.482757524</v>
      </c>
      <c r="W448" s="95">
        <f t="shared" si="62"/>
        <v>150000.00490000308</v>
      </c>
      <c r="X448" s="95">
        <f t="shared" si="63"/>
        <v>99133621.477857515</v>
      </c>
      <c r="Y448" s="95">
        <f t="shared" si="64"/>
        <v>100074279.88491625</v>
      </c>
      <c r="Z448" s="1"/>
      <c r="AA448" s="1"/>
      <c r="AB448" s="1"/>
      <c r="AC448" s="1"/>
      <c r="AD448" s="1"/>
      <c r="AE448" s="1"/>
      <c r="AF448" s="1"/>
      <c r="AG448" s="1"/>
      <c r="AH448" s="1"/>
    </row>
    <row r="449" spans="8:34" x14ac:dyDescent="0.35"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>
        <f t="shared" si="60"/>
        <v>394</v>
      </c>
      <c r="V449" s="95">
        <f t="shared" si="61"/>
        <v>100074279.88491625</v>
      </c>
      <c r="W449" s="95">
        <f t="shared" si="62"/>
        <v>150000.00491250309</v>
      </c>
      <c r="X449" s="95">
        <f t="shared" si="63"/>
        <v>99924279.880003735</v>
      </c>
      <c r="Y449" s="95">
        <f t="shared" si="64"/>
        <v>100872440.68092242</v>
      </c>
      <c r="Z449" s="1"/>
      <c r="AA449" s="1"/>
      <c r="AB449" s="1"/>
      <c r="AC449" s="1"/>
      <c r="AD449" s="1"/>
      <c r="AE449" s="1"/>
      <c r="AF449" s="1"/>
      <c r="AG449" s="1"/>
      <c r="AH449" s="1"/>
    </row>
    <row r="450" spans="8:34" x14ac:dyDescent="0.35"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>
        <f t="shared" si="60"/>
        <v>395</v>
      </c>
      <c r="V450" s="95">
        <f t="shared" si="61"/>
        <v>100872440.68092242</v>
      </c>
      <c r="W450" s="95">
        <f t="shared" si="62"/>
        <v>150000.0049250031</v>
      </c>
      <c r="X450" s="95">
        <f t="shared" si="63"/>
        <v>100722440.67599742</v>
      </c>
      <c r="Y450" s="95">
        <f t="shared" si="64"/>
        <v>101678175.05943778</v>
      </c>
      <c r="Z450" s="1"/>
      <c r="AA450" s="1"/>
      <c r="AB450" s="1"/>
      <c r="AC450" s="1"/>
      <c r="AD450" s="1"/>
      <c r="AE450" s="1"/>
      <c r="AF450" s="1"/>
      <c r="AG450" s="1"/>
      <c r="AH450" s="1"/>
    </row>
    <row r="451" spans="8:34" x14ac:dyDescent="0.35"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>
        <f t="shared" si="60"/>
        <v>396</v>
      </c>
      <c r="V451" s="95">
        <f t="shared" si="61"/>
        <v>101678175.05943778</v>
      </c>
      <c r="W451" s="95">
        <f t="shared" si="62"/>
        <v>150000.00493750311</v>
      </c>
      <c r="X451" s="95">
        <f t="shared" si="63"/>
        <v>101528175.05450028</v>
      </c>
      <c r="Y451" s="95">
        <f t="shared" si="64"/>
        <v>102491554.88461854</v>
      </c>
      <c r="Z451" s="1"/>
      <c r="AA451" s="1"/>
      <c r="AB451" s="1"/>
      <c r="AC451" s="1"/>
      <c r="AD451" s="1"/>
      <c r="AE451" s="1"/>
      <c r="AF451" s="1"/>
      <c r="AG451" s="1"/>
      <c r="AH451" s="1"/>
    </row>
    <row r="452" spans="8:34" x14ac:dyDescent="0.35"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>
        <f t="shared" si="60"/>
        <v>397</v>
      </c>
      <c r="V452" s="95">
        <f t="shared" si="61"/>
        <v>102491554.88461854</v>
      </c>
      <c r="W452" s="95">
        <f t="shared" si="62"/>
        <v>150000.00495000312</v>
      </c>
      <c r="X452" s="95">
        <f t="shared" si="63"/>
        <v>102341554.87966853</v>
      </c>
      <c r="Y452" s="95">
        <f t="shared" si="64"/>
        <v>103312652.70252497</v>
      </c>
      <c r="Z452" s="1"/>
      <c r="AA452" s="1"/>
      <c r="AB452" s="1"/>
      <c r="AC452" s="1"/>
      <c r="AD452" s="1"/>
      <c r="AE452" s="1"/>
      <c r="AF452" s="1"/>
      <c r="AG452" s="1"/>
      <c r="AH452" s="1"/>
    </row>
    <row r="453" spans="8:34" x14ac:dyDescent="0.35"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>
        <f t="shared" si="60"/>
        <v>398</v>
      </c>
      <c r="V453" s="95">
        <f t="shared" si="61"/>
        <v>103312652.70252497</v>
      </c>
      <c r="W453" s="95">
        <f t="shared" si="62"/>
        <v>150000.00496250312</v>
      </c>
      <c r="X453" s="95">
        <f t="shared" si="63"/>
        <v>103162652.69756247</v>
      </c>
      <c r="Y453" s="95">
        <f t="shared" si="64"/>
        <v>104141541.74759194</v>
      </c>
      <c r="Z453" s="1"/>
      <c r="AA453" s="1"/>
      <c r="AB453" s="1"/>
      <c r="AC453" s="1"/>
      <c r="AD453" s="1"/>
      <c r="AE453" s="1"/>
      <c r="AF453" s="1"/>
      <c r="AG453" s="1"/>
      <c r="AH453" s="1"/>
    </row>
    <row r="454" spans="8:34" x14ac:dyDescent="0.35"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>
        <f t="shared" si="60"/>
        <v>399</v>
      </c>
      <c r="V454" s="95">
        <f t="shared" si="61"/>
        <v>104141541.74759194</v>
      </c>
      <c r="W454" s="95">
        <f t="shared" si="62"/>
        <v>150000.00497500313</v>
      </c>
      <c r="X454" s="95">
        <f t="shared" si="63"/>
        <v>103991541.74261694</v>
      </c>
      <c r="Y454" s="95">
        <f t="shared" si="64"/>
        <v>104978295.94916068</v>
      </c>
      <c r="Z454" s="1"/>
      <c r="AA454" s="1"/>
      <c r="AB454" s="1"/>
      <c r="AC454" s="1"/>
      <c r="AD454" s="1"/>
      <c r="AE454" s="1"/>
      <c r="AF454" s="1"/>
      <c r="AG454" s="1"/>
      <c r="AH454" s="1"/>
    </row>
    <row r="455" spans="8:34" x14ac:dyDescent="0.35"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>
        <f t="shared" si="60"/>
        <v>400</v>
      </c>
      <c r="V455" s="95">
        <f t="shared" si="61"/>
        <v>104978295.94916068</v>
      </c>
      <c r="W455" s="95">
        <f t="shared" si="62"/>
        <v>150000.00498750314</v>
      </c>
      <c r="X455" s="95">
        <f t="shared" si="63"/>
        <v>104828295.94417317</v>
      </c>
      <c r="Y455" s="95">
        <f t="shared" si="64"/>
        <v>105822989.93807262</v>
      </c>
      <c r="Z455" s="1"/>
      <c r="AA455" s="1"/>
      <c r="AB455" s="1"/>
      <c r="AC455" s="1"/>
      <c r="AD455" s="1"/>
      <c r="AE455" s="1"/>
      <c r="AF455" s="1"/>
      <c r="AG455" s="1"/>
      <c r="AH455" s="1"/>
    </row>
    <row r="456" spans="8:34" x14ac:dyDescent="0.35"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>
        <f t="shared" si="60"/>
        <v>401</v>
      </c>
      <c r="V456" s="95">
        <f t="shared" si="61"/>
        <v>105822989.93807262</v>
      </c>
      <c r="W456" s="95">
        <f t="shared" si="62"/>
        <v>150000.00500000315</v>
      </c>
      <c r="X456" s="95">
        <f t="shared" si="63"/>
        <v>105672989.93307261</v>
      </c>
      <c r="Y456" s="95">
        <f t="shared" si="64"/>
        <v>106675699.05332582</v>
      </c>
      <c r="Z456" s="1"/>
      <c r="AA456" s="1"/>
      <c r="AB456" s="1"/>
      <c r="AC456" s="1"/>
      <c r="AD456" s="1"/>
      <c r="AE456" s="1"/>
      <c r="AF456" s="1"/>
      <c r="AG456" s="1"/>
      <c r="AH456" s="1"/>
    </row>
    <row r="457" spans="8:34" x14ac:dyDescent="0.35"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>
        <f t="shared" si="60"/>
        <v>402</v>
      </c>
      <c r="V457" s="95">
        <f t="shared" si="61"/>
        <v>106675699.05332582</v>
      </c>
      <c r="W457" s="95">
        <f t="shared" si="62"/>
        <v>150000.00501250316</v>
      </c>
      <c r="X457" s="95">
        <f t="shared" si="63"/>
        <v>106525699.04831332</v>
      </c>
      <c r="Y457" s="95">
        <f t="shared" si="64"/>
        <v>107536499.34879448</v>
      </c>
      <c r="Z457" s="1"/>
      <c r="AA457" s="1"/>
      <c r="AB457" s="1"/>
      <c r="AC457" s="1"/>
      <c r="AD457" s="1"/>
      <c r="AE457" s="1"/>
      <c r="AF457" s="1"/>
      <c r="AG457" s="1"/>
      <c r="AH457" s="1"/>
    </row>
    <row r="458" spans="8:34" x14ac:dyDescent="0.35"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>
        <f t="shared" si="60"/>
        <v>403</v>
      </c>
      <c r="V458" s="95">
        <f t="shared" si="61"/>
        <v>107536499.34879448</v>
      </c>
      <c r="W458" s="95">
        <f t="shared" si="62"/>
        <v>150000.00502500316</v>
      </c>
      <c r="X458" s="95">
        <f t="shared" si="63"/>
        <v>107386499.34376948</v>
      </c>
      <c r="Y458" s="95">
        <f t="shared" si="64"/>
        <v>108405467.60001224</v>
      </c>
      <c r="Z458" s="1"/>
      <c r="AA458" s="1"/>
      <c r="AB458" s="1"/>
      <c r="AC458" s="1"/>
      <c r="AD458" s="1"/>
      <c r="AE458" s="1"/>
      <c r="AF458" s="1"/>
      <c r="AG458" s="1"/>
      <c r="AH458" s="1"/>
    </row>
    <row r="459" spans="8:34" x14ac:dyDescent="0.35"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>
        <f t="shared" si="60"/>
        <v>404</v>
      </c>
      <c r="V459" s="95">
        <f t="shared" si="61"/>
        <v>108405467.60001224</v>
      </c>
      <c r="W459" s="95">
        <f t="shared" si="62"/>
        <v>150000.00503750317</v>
      </c>
      <c r="X459" s="95">
        <f t="shared" si="63"/>
        <v>108255467.59497474</v>
      </c>
      <c r="Y459" s="95">
        <f t="shared" si="64"/>
        <v>109282681.31101993</v>
      </c>
      <c r="Z459" s="1"/>
      <c r="AA459" s="1"/>
      <c r="AB459" s="1"/>
      <c r="AC459" s="1"/>
      <c r="AD459" s="1"/>
      <c r="AE459" s="1"/>
      <c r="AF459" s="1"/>
      <c r="AG459" s="1"/>
      <c r="AH459" s="1"/>
    </row>
    <row r="460" spans="8:34" x14ac:dyDescent="0.35"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>
        <f t="shared" si="60"/>
        <v>405</v>
      </c>
      <c r="V460" s="95">
        <f t="shared" si="61"/>
        <v>109282681.31101993</v>
      </c>
      <c r="W460" s="95">
        <f t="shared" si="62"/>
        <v>150000.00505000318</v>
      </c>
      <c r="X460" s="95">
        <f t="shared" si="63"/>
        <v>109132681.30596992</v>
      </c>
      <c r="Y460" s="95">
        <f t="shared" si="64"/>
        <v>110168218.72127812</v>
      </c>
      <c r="Z460" s="1"/>
      <c r="AA460" s="1"/>
      <c r="AB460" s="1"/>
      <c r="AC460" s="1"/>
      <c r="AD460" s="1"/>
      <c r="AE460" s="1"/>
      <c r="AF460" s="1"/>
      <c r="AG460" s="1"/>
      <c r="AH460" s="1"/>
    </row>
    <row r="461" spans="8:34" x14ac:dyDescent="0.35"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>
        <f t="shared" si="60"/>
        <v>406</v>
      </c>
      <c r="V461" s="95">
        <f t="shared" si="61"/>
        <v>110168218.72127812</v>
      </c>
      <c r="W461" s="95">
        <f t="shared" si="62"/>
        <v>150000.00506250319</v>
      </c>
      <c r="X461" s="95">
        <f t="shared" si="63"/>
        <v>110018218.71621561</v>
      </c>
      <c r="Y461" s="95">
        <f t="shared" si="64"/>
        <v>111062158.81264545</v>
      </c>
      <c r="Z461" s="1"/>
      <c r="AA461" s="1"/>
      <c r="AB461" s="1"/>
      <c r="AC461" s="1"/>
      <c r="AD461" s="1"/>
      <c r="AE461" s="1"/>
      <c r="AF461" s="1"/>
      <c r="AG461" s="1"/>
      <c r="AH461" s="1"/>
    </row>
    <row r="462" spans="8:34" x14ac:dyDescent="0.35"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>
        <f t="shared" si="60"/>
        <v>407</v>
      </c>
      <c r="V462" s="95">
        <f t="shared" si="61"/>
        <v>111062158.81264545</v>
      </c>
      <c r="W462" s="95">
        <f t="shared" si="62"/>
        <v>150000.0050750032</v>
      </c>
      <c r="X462" s="95">
        <f t="shared" si="63"/>
        <v>110912158.80757044</v>
      </c>
      <c r="Y462" s="95">
        <f t="shared" si="64"/>
        <v>111964581.31642307</v>
      </c>
      <c r="Z462" s="1"/>
      <c r="AA462" s="1"/>
      <c r="AB462" s="1"/>
      <c r="AC462" s="1"/>
      <c r="AD462" s="1"/>
      <c r="AE462" s="1"/>
      <c r="AF462" s="1"/>
      <c r="AG462" s="1"/>
      <c r="AH462" s="1"/>
    </row>
    <row r="463" spans="8:34" x14ac:dyDescent="0.35"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>
        <f t="shared" si="60"/>
        <v>408</v>
      </c>
      <c r="V463" s="95">
        <f t="shared" si="61"/>
        <v>111964581.31642307</v>
      </c>
      <c r="W463" s="95">
        <f t="shared" si="62"/>
        <v>150000.0050875032</v>
      </c>
      <c r="X463" s="95">
        <f t="shared" si="63"/>
        <v>111814581.31133556</v>
      </c>
      <c r="Y463" s="95">
        <f t="shared" si="64"/>
        <v>112875566.72046593</v>
      </c>
      <c r="Z463" s="1"/>
      <c r="AA463" s="1"/>
      <c r="AB463" s="1"/>
      <c r="AC463" s="1"/>
      <c r="AD463" s="1"/>
      <c r="AE463" s="1"/>
      <c r="AF463" s="1"/>
      <c r="AG463" s="1"/>
      <c r="AH463" s="1"/>
    </row>
    <row r="464" spans="8:34" x14ac:dyDescent="0.35"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>
        <f t="shared" si="60"/>
        <v>409</v>
      </c>
      <c r="V464" s="95">
        <f t="shared" si="61"/>
        <v>112875566.72046593</v>
      </c>
      <c r="W464" s="95">
        <f t="shared" si="62"/>
        <v>150000.00510000321</v>
      </c>
      <c r="X464" s="95">
        <f t="shared" si="63"/>
        <v>112725566.71536593</v>
      </c>
      <c r="Y464" s="95">
        <f t="shared" si="64"/>
        <v>113795196.27636157</v>
      </c>
      <c r="Z464" s="1"/>
      <c r="AA464" s="1"/>
      <c r="AB464" s="1"/>
      <c r="AC464" s="1"/>
      <c r="AD464" s="1"/>
      <c r="AE464" s="1"/>
      <c r="AF464" s="1"/>
      <c r="AG464" s="1"/>
      <c r="AH464" s="1"/>
    </row>
    <row r="465" spans="8:34" x14ac:dyDescent="0.35"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>
        <f t="shared" si="60"/>
        <v>410</v>
      </c>
      <c r="V465" s="95">
        <f t="shared" si="61"/>
        <v>113795196.27636157</v>
      </c>
      <c r="W465" s="95">
        <f t="shared" si="62"/>
        <v>150000.00511250322</v>
      </c>
      <c r="X465" s="95">
        <f t="shared" si="63"/>
        <v>113645196.27124907</v>
      </c>
      <c r="Y465" s="95">
        <f t="shared" si="64"/>
        <v>114723552.006677</v>
      </c>
      <c r="Z465" s="1"/>
      <c r="AA465" s="1"/>
      <c r="AB465" s="1"/>
      <c r="AC465" s="1"/>
      <c r="AD465" s="1"/>
      <c r="AE465" s="1"/>
      <c r="AF465" s="1"/>
      <c r="AG465" s="1"/>
      <c r="AH465" s="1"/>
    </row>
    <row r="466" spans="8:34" x14ac:dyDescent="0.35"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>
        <f t="shared" si="60"/>
        <v>411</v>
      </c>
      <c r="V466" s="95">
        <f t="shared" si="61"/>
        <v>114723552.006677</v>
      </c>
      <c r="W466" s="95">
        <f t="shared" si="62"/>
        <v>150000.00512500323</v>
      </c>
      <c r="X466" s="95">
        <f t="shared" si="63"/>
        <v>114573552.001552</v>
      </c>
      <c r="Y466" s="95">
        <f t="shared" si="64"/>
        <v>115660716.71227442</v>
      </c>
      <c r="Z466" s="1"/>
      <c r="AA466" s="1"/>
      <c r="AB466" s="1"/>
      <c r="AC466" s="1"/>
      <c r="AD466" s="1"/>
      <c r="AE466" s="1"/>
      <c r="AF466" s="1"/>
      <c r="AG466" s="1"/>
      <c r="AH466" s="1"/>
    </row>
    <row r="467" spans="8:34" x14ac:dyDescent="0.35"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>
        <f t="shared" si="60"/>
        <v>412</v>
      </c>
      <c r="V467" s="95">
        <f t="shared" si="61"/>
        <v>115660716.71227442</v>
      </c>
      <c r="W467" s="95">
        <f t="shared" si="62"/>
        <v>150000.00513750323</v>
      </c>
      <c r="X467" s="95">
        <f t="shared" si="63"/>
        <v>115510716.70713691</v>
      </c>
      <c r="Y467" s="95">
        <f t="shared" si="64"/>
        <v>116606773.97969621</v>
      </c>
      <c r="Z467" s="1"/>
      <c r="AA467" s="1"/>
      <c r="AB467" s="1"/>
      <c r="AC467" s="1"/>
      <c r="AD467" s="1"/>
      <c r="AE467" s="1"/>
      <c r="AF467" s="1"/>
      <c r="AG467" s="1"/>
      <c r="AH467" s="1"/>
    </row>
    <row r="468" spans="8:34" x14ac:dyDescent="0.35"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>
        <f t="shared" si="60"/>
        <v>413</v>
      </c>
      <c r="V468" s="95">
        <f t="shared" si="61"/>
        <v>116606773.97969621</v>
      </c>
      <c r="W468" s="95">
        <f t="shared" si="62"/>
        <v>150000.00515000324</v>
      </c>
      <c r="X468" s="95">
        <f t="shared" si="63"/>
        <v>116456773.97454621</v>
      </c>
      <c r="Y468" s="95">
        <f t="shared" si="64"/>
        <v>117561808.18862022</v>
      </c>
      <c r="Z468" s="1"/>
      <c r="AA468" s="1"/>
      <c r="AB468" s="1"/>
      <c r="AC468" s="1"/>
      <c r="AD468" s="1"/>
      <c r="AE468" s="1"/>
      <c r="AF468" s="1"/>
      <c r="AG468" s="1"/>
      <c r="AH468" s="1"/>
    </row>
    <row r="469" spans="8:34" x14ac:dyDescent="0.35"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>
        <f t="shared" si="60"/>
        <v>414</v>
      </c>
      <c r="V469" s="95">
        <f t="shared" si="61"/>
        <v>117561808.18862022</v>
      </c>
      <c r="W469" s="95">
        <f t="shared" si="62"/>
        <v>150000.00516250325</v>
      </c>
      <c r="X469" s="95">
        <f t="shared" si="63"/>
        <v>117411808.18345772</v>
      </c>
      <c r="Y469" s="95">
        <f t="shared" si="64"/>
        <v>118525904.51938553</v>
      </c>
      <c r="Z469" s="1"/>
      <c r="AA469" s="1"/>
      <c r="AB469" s="1"/>
      <c r="AC469" s="1"/>
      <c r="AD469" s="1"/>
      <c r="AE469" s="1"/>
      <c r="AF469" s="1"/>
      <c r="AG469" s="1"/>
      <c r="AH469" s="1"/>
    </row>
    <row r="470" spans="8:34" x14ac:dyDescent="0.35"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>
        <f t="shared" si="60"/>
        <v>415</v>
      </c>
      <c r="V470" s="95">
        <f t="shared" si="61"/>
        <v>118525904.51938553</v>
      </c>
      <c r="W470" s="95">
        <f t="shared" si="62"/>
        <v>150000.00517500326</v>
      </c>
      <c r="X470" s="95">
        <f t="shared" si="63"/>
        <v>118375904.51421052</v>
      </c>
      <c r="Y470" s="95">
        <f t="shared" si="64"/>
        <v>119499148.96058984</v>
      </c>
      <c r="Z470" s="1"/>
      <c r="AA470" s="1"/>
      <c r="AB470" s="1"/>
      <c r="AC470" s="1"/>
      <c r="AD470" s="1"/>
      <c r="AE470" s="1"/>
      <c r="AF470" s="1"/>
      <c r="AG470" s="1"/>
      <c r="AH470" s="1"/>
    </row>
    <row r="471" spans="8:34" x14ac:dyDescent="0.35"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>
        <f t="shared" si="60"/>
        <v>416</v>
      </c>
      <c r="V471" s="95">
        <f t="shared" si="61"/>
        <v>119499148.96058984</v>
      </c>
      <c r="W471" s="95">
        <f t="shared" si="62"/>
        <v>150000.00518750327</v>
      </c>
      <c r="X471" s="95">
        <f t="shared" si="63"/>
        <v>119349148.95540234</v>
      </c>
      <c r="Y471" s="95">
        <f t="shared" si="64"/>
        <v>120481628.31675887</v>
      </c>
      <c r="Z471" s="1"/>
      <c r="AA471" s="1"/>
      <c r="AB471" s="1"/>
      <c r="AC471" s="1"/>
      <c r="AD471" s="1"/>
      <c r="AE471" s="1"/>
      <c r="AF471" s="1"/>
      <c r="AG471" s="1"/>
      <c r="AH471" s="1"/>
    </row>
    <row r="472" spans="8:34" x14ac:dyDescent="0.35"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>
        <f t="shared" si="60"/>
        <v>417</v>
      </c>
      <c r="V472" s="95">
        <f t="shared" si="61"/>
        <v>120481628.31675887</v>
      </c>
      <c r="W472" s="95">
        <f t="shared" si="62"/>
        <v>150000.00520000327</v>
      </c>
      <c r="X472" s="95">
        <f t="shared" si="63"/>
        <v>120331628.31155887</v>
      </c>
      <c r="Y472" s="95">
        <f t="shared" si="64"/>
        <v>121473430.21608846</v>
      </c>
      <c r="Z472" s="1"/>
      <c r="AA472" s="1"/>
      <c r="AB472" s="1"/>
      <c r="AC472" s="1"/>
      <c r="AD472" s="1"/>
      <c r="AE472" s="1"/>
      <c r="AF472" s="1"/>
      <c r="AG472" s="1"/>
      <c r="AH472" s="1"/>
    </row>
    <row r="473" spans="8:34" x14ac:dyDescent="0.35"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>
        <f t="shared" si="60"/>
        <v>418</v>
      </c>
      <c r="V473" s="95">
        <f t="shared" si="61"/>
        <v>121473430.21608846</v>
      </c>
      <c r="W473" s="95">
        <f t="shared" si="62"/>
        <v>150000.00521250328</v>
      </c>
      <c r="X473" s="95">
        <f t="shared" si="63"/>
        <v>121323430.21087596</v>
      </c>
      <c r="Y473" s="95">
        <f t="shared" si="64"/>
        <v>122474643.11826029</v>
      </c>
      <c r="Z473" s="1"/>
      <c r="AA473" s="1"/>
      <c r="AB473" s="1"/>
      <c r="AC473" s="1"/>
      <c r="AD473" s="1"/>
      <c r="AE473" s="1"/>
      <c r="AF473" s="1"/>
      <c r="AG473" s="1"/>
      <c r="AH473" s="1"/>
    </row>
    <row r="474" spans="8:34" x14ac:dyDescent="0.35"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>
        <f t="shared" si="60"/>
        <v>419</v>
      </c>
      <c r="V474" s="95">
        <f t="shared" si="61"/>
        <v>122474643.11826029</v>
      </c>
      <c r="W474" s="95">
        <f t="shared" si="62"/>
        <v>150000.00522500329</v>
      </c>
      <c r="X474" s="95">
        <f t="shared" si="63"/>
        <v>122324643.11303529</v>
      </c>
      <c r="Y474" s="95">
        <f t="shared" si="64"/>
        <v>123485356.32233165</v>
      </c>
      <c r="Z474" s="1"/>
      <c r="AA474" s="1"/>
      <c r="AB474" s="1"/>
      <c r="AC474" s="1"/>
      <c r="AD474" s="1"/>
      <c r="AE474" s="1"/>
      <c r="AF474" s="1"/>
      <c r="AG474" s="1"/>
      <c r="AH474" s="1"/>
    </row>
    <row r="475" spans="8:34" x14ac:dyDescent="0.35"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>
        <f t="shared" si="60"/>
        <v>420</v>
      </c>
      <c r="V475" s="95">
        <f t="shared" si="61"/>
        <v>123485356.32233165</v>
      </c>
      <c r="W475" s="95">
        <f t="shared" si="62"/>
        <v>150000.0052375033</v>
      </c>
      <c r="X475" s="95">
        <f t="shared" si="63"/>
        <v>123335356.31709415</v>
      </c>
      <c r="Y475" s="95">
        <f t="shared" si="64"/>
        <v>124505659.97470008</v>
      </c>
      <c r="Z475" s="1"/>
      <c r="AA475" s="1"/>
      <c r="AB475" s="1"/>
      <c r="AC475" s="1"/>
      <c r="AD475" s="1"/>
      <c r="AE475" s="1"/>
      <c r="AF475" s="1"/>
      <c r="AG475" s="1"/>
      <c r="AH475" s="1"/>
    </row>
    <row r="476" spans="8:34" x14ac:dyDescent="0.35"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>
        <f t="shared" si="60"/>
        <v>421</v>
      </c>
      <c r="V476" s="95">
        <f t="shared" si="61"/>
        <v>124505659.97470008</v>
      </c>
      <c r="W476" s="95">
        <f t="shared" si="62"/>
        <v>150000.00525000331</v>
      </c>
      <c r="X476" s="95">
        <f t="shared" si="63"/>
        <v>124355659.96945007</v>
      </c>
      <c r="Y476" s="95">
        <f t="shared" si="64"/>
        <v>125535645.07714359</v>
      </c>
      <c r="Z476" s="1"/>
      <c r="AA476" s="1"/>
      <c r="AB476" s="1"/>
      <c r="AC476" s="1"/>
      <c r="AD476" s="1"/>
      <c r="AE476" s="1"/>
      <c r="AF476" s="1"/>
      <c r="AG476" s="1"/>
      <c r="AH476" s="1"/>
    </row>
    <row r="477" spans="8:34" x14ac:dyDescent="0.35"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>
        <f t="shared" si="60"/>
        <v>422</v>
      </c>
      <c r="V477" s="95">
        <f t="shared" si="61"/>
        <v>125535645.07714359</v>
      </c>
      <c r="W477" s="95">
        <f t="shared" si="62"/>
        <v>150000.00526250331</v>
      </c>
      <c r="X477" s="95">
        <f t="shared" si="63"/>
        <v>125385645.07188109</v>
      </c>
      <c r="Y477" s="95">
        <f t="shared" si="64"/>
        <v>126575403.49493729</v>
      </c>
      <c r="Z477" s="1"/>
      <c r="AA477" s="1"/>
      <c r="AB477" s="1"/>
      <c r="AC477" s="1"/>
      <c r="AD477" s="1"/>
      <c r="AE477" s="1"/>
      <c r="AF477" s="1"/>
      <c r="AG477" s="1"/>
      <c r="AH477" s="1"/>
    </row>
    <row r="478" spans="8:34" x14ac:dyDescent="0.35"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>
        <f t="shared" si="60"/>
        <v>423</v>
      </c>
      <c r="V478" s="95">
        <f t="shared" si="61"/>
        <v>126575403.49493729</v>
      </c>
      <c r="W478" s="95">
        <f t="shared" si="62"/>
        <v>150000.00527500332</v>
      </c>
      <c r="X478" s="95">
        <f t="shared" si="63"/>
        <v>126425403.48966229</v>
      </c>
      <c r="Y478" s="95">
        <f t="shared" si="64"/>
        <v>127625027.96504681</v>
      </c>
      <c r="Z478" s="1"/>
      <c r="AA478" s="1"/>
      <c r="AB478" s="1"/>
      <c r="AC478" s="1"/>
      <c r="AD478" s="1"/>
      <c r="AE478" s="1"/>
      <c r="AF478" s="1"/>
      <c r="AG478" s="1"/>
      <c r="AH478" s="1"/>
    </row>
    <row r="479" spans="8:34" x14ac:dyDescent="0.35"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>
        <f t="shared" si="60"/>
        <v>424</v>
      </c>
      <c r="V479" s="95">
        <f t="shared" si="61"/>
        <v>127625027.96504681</v>
      </c>
      <c r="W479" s="95">
        <f t="shared" si="62"/>
        <v>150000.00528750333</v>
      </c>
      <c r="X479" s="95">
        <f t="shared" si="63"/>
        <v>127475027.95975931</v>
      </c>
      <c r="Y479" s="95">
        <f t="shared" si="64"/>
        <v>128684612.10439965</v>
      </c>
      <c r="Z479" s="1"/>
      <c r="AA479" s="1"/>
      <c r="AB479" s="1"/>
      <c r="AC479" s="1"/>
      <c r="AD479" s="1"/>
      <c r="AE479" s="1"/>
      <c r="AF479" s="1"/>
      <c r="AG479" s="1"/>
      <c r="AH479" s="1"/>
    </row>
    <row r="480" spans="8:34" x14ac:dyDescent="0.35"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>
        <f t="shared" si="60"/>
        <v>425</v>
      </c>
      <c r="V480" s="95">
        <f t="shared" si="61"/>
        <v>128684612.10439965</v>
      </c>
      <c r="W480" s="95">
        <f t="shared" si="62"/>
        <v>150000.00530000334</v>
      </c>
      <c r="X480" s="95">
        <f t="shared" si="63"/>
        <v>128534612.09909965</v>
      </c>
      <c r="Y480" s="95">
        <f t="shared" si="64"/>
        <v>129754250.41823496</v>
      </c>
      <c r="Z480" s="1"/>
      <c r="AA480" s="1"/>
      <c r="AB480" s="1"/>
      <c r="AC480" s="1"/>
      <c r="AD480" s="1"/>
      <c r="AE480" s="1"/>
      <c r="AF480" s="1"/>
      <c r="AG480" s="1"/>
      <c r="AH480" s="1"/>
    </row>
    <row r="481" spans="8:34" x14ac:dyDescent="0.35"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>
        <f t="shared" si="60"/>
        <v>426</v>
      </c>
      <c r="V481" s="95">
        <f t="shared" si="61"/>
        <v>129754250.41823496</v>
      </c>
      <c r="W481" s="95">
        <f t="shared" si="62"/>
        <v>150000.00531250334</v>
      </c>
      <c r="X481" s="95">
        <f t="shared" si="63"/>
        <v>129604250.41292246</v>
      </c>
      <c r="Y481" s="95">
        <f t="shared" si="64"/>
        <v>130834038.30853252</v>
      </c>
      <c r="Z481" s="1"/>
      <c r="AA481" s="1"/>
      <c r="AB481" s="1"/>
      <c r="AC481" s="1"/>
      <c r="AD481" s="1"/>
      <c r="AE481" s="1"/>
      <c r="AF481" s="1"/>
      <c r="AG481" s="1"/>
      <c r="AH481" s="1"/>
    </row>
    <row r="482" spans="8:34" x14ac:dyDescent="0.35"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>
        <f t="shared" si="60"/>
        <v>427</v>
      </c>
      <c r="V482" s="95">
        <f t="shared" si="61"/>
        <v>130834038.30853252</v>
      </c>
      <c r="W482" s="95">
        <f t="shared" si="62"/>
        <v>150000.00532500335</v>
      </c>
      <c r="X482" s="95">
        <f t="shared" si="63"/>
        <v>130684038.30320752</v>
      </c>
      <c r="Y482" s="95">
        <f t="shared" si="64"/>
        <v>131924072.08252177</v>
      </c>
      <c r="Z482" s="1"/>
      <c r="AA482" s="1"/>
      <c r="AB482" s="1"/>
      <c r="AC482" s="1"/>
      <c r="AD482" s="1"/>
      <c r="AE482" s="1"/>
      <c r="AF482" s="1"/>
      <c r="AG482" s="1"/>
      <c r="AH482" s="1"/>
    </row>
    <row r="483" spans="8:34" x14ac:dyDescent="0.35"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>
        <f t="shared" si="60"/>
        <v>428</v>
      </c>
      <c r="V483" s="95">
        <f t="shared" si="61"/>
        <v>131924072.08252177</v>
      </c>
      <c r="W483" s="95">
        <f t="shared" si="62"/>
        <v>150000.00533750336</v>
      </c>
      <c r="X483" s="95">
        <f t="shared" si="63"/>
        <v>131774072.07718426</v>
      </c>
      <c r="Y483" s="95">
        <f t="shared" si="64"/>
        <v>133024448.96127148</v>
      </c>
      <c r="Z483" s="1"/>
      <c r="AA483" s="1"/>
      <c r="AB483" s="1"/>
      <c r="AC483" s="1"/>
      <c r="AD483" s="1"/>
      <c r="AE483" s="1"/>
      <c r="AF483" s="1"/>
      <c r="AG483" s="1"/>
      <c r="AH483" s="1"/>
    </row>
    <row r="484" spans="8:34" x14ac:dyDescent="0.35"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>
        <f t="shared" si="60"/>
        <v>429</v>
      </c>
      <c r="V484" s="95">
        <f t="shared" si="61"/>
        <v>133024448.96127148</v>
      </c>
      <c r="W484" s="95">
        <f t="shared" si="62"/>
        <v>150000.00535000337</v>
      </c>
      <c r="X484" s="95">
        <f t="shared" si="63"/>
        <v>132874448.95592147</v>
      </c>
      <c r="Y484" s="95">
        <f t="shared" si="64"/>
        <v>134135267.08836104</v>
      </c>
      <c r="Z484" s="1"/>
      <c r="AA484" s="1"/>
      <c r="AB484" s="1"/>
      <c r="AC484" s="1"/>
      <c r="AD484" s="1"/>
      <c r="AE484" s="1"/>
      <c r="AF484" s="1"/>
      <c r="AG484" s="1"/>
      <c r="AH484" s="1"/>
    </row>
    <row r="485" spans="8:34" x14ac:dyDescent="0.35"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>
        <f t="shared" si="60"/>
        <v>430</v>
      </c>
      <c r="V485" s="95">
        <f t="shared" si="61"/>
        <v>134135267.08836104</v>
      </c>
      <c r="W485" s="95">
        <f t="shared" si="62"/>
        <v>150000.00536250338</v>
      </c>
      <c r="X485" s="95">
        <f t="shared" si="63"/>
        <v>133985267.08299853</v>
      </c>
      <c r="Y485" s="95">
        <f t="shared" si="64"/>
        <v>135256625.53863391</v>
      </c>
      <c r="Z485" s="1"/>
      <c r="AA485" s="1"/>
      <c r="AB485" s="1"/>
      <c r="AC485" s="1"/>
      <c r="AD485" s="1"/>
      <c r="AE485" s="1"/>
      <c r="AF485" s="1"/>
      <c r="AG485" s="1"/>
      <c r="AH485" s="1"/>
    </row>
    <row r="486" spans="8:34" x14ac:dyDescent="0.35"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>
        <f t="shared" si="60"/>
        <v>431</v>
      </c>
      <c r="V486" s="95">
        <f t="shared" si="61"/>
        <v>135256625.53863391</v>
      </c>
      <c r="W486" s="95">
        <f t="shared" si="62"/>
        <v>150000.00537500338</v>
      </c>
      <c r="X486" s="95">
        <f t="shared" si="63"/>
        <v>135106625.53325891</v>
      </c>
      <c r="Y486" s="95">
        <f t="shared" si="64"/>
        <v>136388624.32703426</v>
      </c>
      <c r="Z486" s="1"/>
      <c r="AA486" s="1"/>
      <c r="AB486" s="1"/>
      <c r="AC486" s="1"/>
      <c r="AD486" s="1"/>
      <c r="AE486" s="1"/>
      <c r="AF486" s="1"/>
      <c r="AG486" s="1"/>
      <c r="AH486" s="1"/>
    </row>
    <row r="487" spans="8:34" x14ac:dyDescent="0.35"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>
        <f t="shared" si="60"/>
        <v>432</v>
      </c>
      <c r="V487" s="95">
        <f t="shared" si="61"/>
        <v>136388624.32703426</v>
      </c>
      <c r="W487" s="95">
        <f t="shared" si="62"/>
        <v>150000.00538750339</v>
      </c>
      <c r="X487" s="95">
        <f t="shared" si="63"/>
        <v>136238624.32164675</v>
      </c>
      <c r="Y487" s="95">
        <f t="shared" si="64"/>
        <v>137531364.41752732</v>
      </c>
      <c r="Z487" s="1"/>
      <c r="AA487" s="1"/>
      <c r="AB487" s="1"/>
      <c r="AC487" s="1"/>
      <c r="AD487" s="1"/>
      <c r="AE487" s="1"/>
      <c r="AF487" s="1"/>
      <c r="AG487" s="1"/>
      <c r="AH487" s="1"/>
    </row>
    <row r="488" spans="8:34" x14ac:dyDescent="0.35"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>
        <f t="shared" si="60"/>
        <v>433</v>
      </c>
      <c r="V488" s="95">
        <f t="shared" si="61"/>
        <v>137531364.41752732</v>
      </c>
      <c r="W488" s="95">
        <f t="shared" si="62"/>
        <v>150000.0054000034</v>
      </c>
      <c r="X488" s="95">
        <f t="shared" si="63"/>
        <v>137381364.41212732</v>
      </c>
      <c r="Y488" s="95">
        <f t="shared" si="64"/>
        <v>138684947.73210448</v>
      </c>
      <c r="Z488" s="1"/>
      <c r="AA488" s="1"/>
      <c r="AB488" s="1"/>
      <c r="AC488" s="1"/>
      <c r="AD488" s="1"/>
      <c r="AE488" s="1"/>
      <c r="AF488" s="1"/>
      <c r="AG488" s="1"/>
      <c r="AH488" s="1"/>
    </row>
    <row r="489" spans="8:34" x14ac:dyDescent="0.35"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>
        <f t="shared" si="60"/>
        <v>434</v>
      </c>
      <c r="V489" s="95">
        <f t="shared" si="61"/>
        <v>138684947.73210448</v>
      </c>
      <c r="W489" s="95">
        <f t="shared" si="62"/>
        <v>150000.00541250341</v>
      </c>
      <c r="X489" s="95">
        <f t="shared" si="63"/>
        <v>138534947.72669199</v>
      </c>
      <c r="Y489" s="95">
        <f t="shared" si="64"/>
        <v>139849477.15987384</v>
      </c>
      <c r="Z489" s="1"/>
      <c r="AA489" s="1"/>
      <c r="AB489" s="1"/>
      <c r="AC489" s="1"/>
      <c r="AD489" s="1"/>
      <c r="AE489" s="1"/>
      <c r="AF489" s="1"/>
      <c r="AG489" s="1"/>
      <c r="AH489" s="1"/>
    </row>
    <row r="490" spans="8:34" x14ac:dyDescent="0.35"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>
        <f t="shared" si="60"/>
        <v>435</v>
      </c>
      <c r="V490" s="95">
        <f t="shared" si="61"/>
        <v>139849477.15987384</v>
      </c>
      <c r="W490" s="95">
        <f t="shared" si="62"/>
        <v>150000.00542500342</v>
      </c>
      <c r="X490" s="95">
        <f t="shared" si="63"/>
        <v>139699477.15444884</v>
      </c>
      <c r="Y490" s="95">
        <f t="shared" si="64"/>
        <v>141025056.56623691</v>
      </c>
      <c r="Z490" s="1"/>
      <c r="AA490" s="1"/>
      <c r="AB490" s="1"/>
      <c r="AC490" s="1"/>
      <c r="AD490" s="1"/>
      <c r="AE490" s="1"/>
      <c r="AF490" s="1"/>
      <c r="AG490" s="1"/>
      <c r="AH490" s="1"/>
    </row>
    <row r="491" spans="8:34" x14ac:dyDescent="0.35"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>
        <f t="shared" si="60"/>
        <v>436</v>
      </c>
      <c r="V491" s="95">
        <f t="shared" si="61"/>
        <v>141025056.56623691</v>
      </c>
      <c r="W491" s="95">
        <f t="shared" si="62"/>
        <v>150000.00543750342</v>
      </c>
      <c r="X491" s="95">
        <f t="shared" si="63"/>
        <v>140875056.56079942</v>
      </c>
      <c r="Y491" s="95">
        <f t="shared" si="64"/>
        <v>142211790.80215251</v>
      </c>
      <c r="Z491" s="1"/>
      <c r="AA491" s="1"/>
      <c r="AB491" s="1"/>
      <c r="AC491" s="1"/>
      <c r="AD491" s="1"/>
      <c r="AE491" s="1"/>
      <c r="AF491" s="1"/>
      <c r="AG491" s="1"/>
      <c r="AH491" s="1"/>
    </row>
    <row r="492" spans="8:34" x14ac:dyDescent="0.35"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>
        <f t="shared" si="60"/>
        <v>437</v>
      </c>
      <c r="V492" s="95">
        <f t="shared" si="61"/>
        <v>142211790.80215251</v>
      </c>
      <c r="W492" s="95">
        <f t="shared" si="62"/>
        <v>150000.00545000343</v>
      </c>
      <c r="X492" s="95">
        <f t="shared" si="63"/>
        <v>142061790.7967025</v>
      </c>
      <c r="Y492" s="95">
        <f t="shared" si="64"/>
        <v>143409785.71348846</v>
      </c>
      <c r="Z492" s="1"/>
      <c r="AA492" s="1"/>
      <c r="AB492" s="1"/>
      <c r="AC492" s="1"/>
      <c r="AD492" s="1"/>
      <c r="AE492" s="1"/>
      <c r="AF492" s="1"/>
      <c r="AG492" s="1"/>
      <c r="AH492" s="1"/>
    </row>
    <row r="493" spans="8:34" x14ac:dyDescent="0.35"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>
        <f t="shared" si="60"/>
        <v>438</v>
      </c>
      <c r="V493" s="95">
        <f t="shared" si="61"/>
        <v>143409785.71348846</v>
      </c>
      <c r="W493" s="95">
        <f t="shared" si="62"/>
        <v>150000.00546250344</v>
      </c>
      <c r="X493" s="95">
        <f t="shared" si="63"/>
        <v>143259785.70802596</v>
      </c>
      <c r="Y493" s="95">
        <f t="shared" si="64"/>
        <v>144619148.15046215</v>
      </c>
      <c r="Z493" s="1"/>
      <c r="AA493" s="1"/>
      <c r="AB493" s="1"/>
      <c r="AC493" s="1"/>
      <c r="AD493" s="1"/>
      <c r="AE493" s="1"/>
      <c r="AF493" s="1"/>
      <c r="AG493" s="1"/>
      <c r="AH493" s="1"/>
    </row>
    <row r="494" spans="8:34" x14ac:dyDescent="0.35"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>
        <f t="shared" si="60"/>
        <v>439</v>
      </c>
      <c r="V494" s="95">
        <f t="shared" si="61"/>
        <v>144619148.15046215</v>
      </c>
      <c r="W494" s="95">
        <f t="shared" si="62"/>
        <v>150000.00547500345</v>
      </c>
      <c r="X494" s="95">
        <f t="shared" si="63"/>
        <v>144469148.14498714</v>
      </c>
      <c r="Y494" s="95">
        <f t="shared" si="64"/>
        <v>145839985.97717053</v>
      </c>
      <c r="Z494" s="1"/>
      <c r="AA494" s="1"/>
      <c r="AB494" s="1"/>
      <c r="AC494" s="1"/>
      <c r="AD494" s="1"/>
      <c r="AE494" s="1"/>
      <c r="AF494" s="1"/>
      <c r="AG494" s="1"/>
      <c r="AH494" s="1"/>
    </row>
    <row r="495" spans="8:34" x14ac:dyDescent="0.35"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>
        <f t="shared" si="60"/>
        <v>440</v>
      </c>
      <c r="V495" s="95">
        <f t="shared" si="61"/>
        <v>145839985.97717053</v>
      </c>
      <c r="W495" s="95">
        <f t="shared" si="62"/>
        <v>150000.00548750345</v>
      </c>
      <c r="X495" s="95">
        <f t="shared" si="63"/>
        <v>145689985.97168303</v>
      </c>
      <c r="Y495" s="95">
        <f t="shared" si="64"/>
        <v>147072408.08121064</v>
      </c>
      <c r="Z495" s="1"/>
      <c r="AA495" s="1"/>
      <c r="AB495" s="1"/>
      <c r="AC495" s="1"/>
      <c r="AD495" s="1"/>
      <c r="AE495" s="1"/>
      <c r="AF495" s="1"/>
      <c r="AG495" s="1"/>
      <c r="AH495" s="1"/>
    </row>
    <row r="496" spans="8:34" x14ac:dyDescent="0.35"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>
        <f t="shared" si="60"/>
        <v>441</v>
      </c>
      <c r="V496" s="95">
        <f t="shared" si="61"/>
        <v>147072408.08121064</v>
      </c>
      <c r="W496" s="95">
        <f t="shared" si="62"/>
        <v>150000.00550000346</v>
      </c>
      <c r="X496" s="95">
        <f t="shared" si="63"/>
        <v>146922408.07571065</v>
      </c>
      <c r="Y496" s="95">
        <f t="shared" si="64"/>
        <v>148316524.38339138</v>
      </c>
      <c r="Z496" s="1"/>
      <c r="AA496" s="1"/>
      <c r="AB496" s="1"/>
      <c r="AC496" s="1"/>
      <c r="AD496" s="1"/>
      <c r="AE496" s="1"/>
      <c r="AF496" s="1"/>
      <c r="AG496" s="1"/>
      <c r="AH496" s="1"/>
    </row>
    <row r="497" spans="8:34" x14ac:dyDescent="0.35"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>
        <f t="shared" si="60"/>
        <v>442</v>
      </c>
      <c r="V497" s="95">
        <f t="shared" si="61"/>
        <v>148316524.38339138</v>
      </c>
      <c r="W497" s="95">
        <f t="shared" si="62"/>
        <v>150000.00551250347</v>
      </c>
      <c r="X497" s="95">
        <f t="shared" si="63"/>
        <v>148166524.37787887</v>
      </c>
      <c r="Y497" s="95">
        <f t="shared" si="64"/>
        <v>149572445.84753743</v>
      </c>
      <c r="Z497" s="1"/>
      <c r="AA497" s="1"/>
      <c r="AB497" s="1"/>
      <c r="AC497" s="1"/>
      <c r="AD497" s="1"/>
      <c r="AE497" s="1"/>
      <c r="AF497" s="1"/>
      <c r="AG497" s="1"/>
      <c r="AH497" s="1"/>
    </row>
    <row r="498" spans="8:34" x14ac:dyDescent="0.35"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>
        <f t="shared" si="60"/>
        <v>443</v>
      </c>
      <c r="V498" s="95">
        <f t="shared" si="61"/>
        <v>149572445.84753743</v>
      </c>
      <c r="W498" s="95">
        <f t="shared" si="62"/>
        <v>150000.00552500348</v>
      </c>
      <c r="X498" s="95">
        <f t="shared" si="63"/>
        <v>149422445.84201244</v>
      </c>
      <c r="Y498" s="95">
        <f t="shared" si="64"/>
        <v>150840284.49038625</v>
      </c>
      <c r="Z498" s="1"/>
      <c r="AA498" s="1"/>
      <c r="AB498" s="1"/>
      <c r="AC498" s="1"/>
      <c r="AD498" s="1"/>
      <c r="AE498" s="1"/>
      <c r="AF498" s="1"/>
      <c r="AG498" s="1"/>
      <c r="AH498" s="1"/>
    </row>
    <row r="499" spans="8:34" x14ac:dyDescent="0.35"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>
        <f t="shared" si="60"/>
        <v>444</v>
      </c>
      <c r="V499" s="95">
        <f t="shared" si="61"/>
        <v>150840284.49038625</v>
      </c>
      <c r="W499" s="95">
        <f t="shared" si="62"/>
        <v>150000.00553750349</v>
      </c>
      <c r="X499" s="95">
        <f t="shared" si="63"/>
        <v>150690284.48484874</v>
      </c>
      <c r="Y499" s="95">
        <f t="shared" si="64"/>
        <v>152120153.39157888</v>
      </c>
      <c r="Z499" s="1"/>
      <c r="AA499" s="1"/>
      <c r="AB499" s="1"/>
      <c r="AC499" s="1"/>
      <c r="AD499" s="1"/>
      <c r="AE499" s="1"/>
      <c r="AF499" s="1"/>
      <c r="AG499" s="1"/>
      <c r="AH499" s="1"/>
    </row>
    <row r="500" spans="8:34" x14ac:dyDescent="0.35"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>
        <f t="shared" si="60"/>
        <v>445</v>
      </c>
      <c r="V500" s="95">
        <f t="shared" si="61"/>
        <v>152120153.39157888</v>
      </c>
      <c r="W500" s="95">
        <f t="shared" si="62"/>
        <v>150000.00555000349</v>
      </c>
      <c r="X500" s="95">
        <f t="shared" si="63"/>
        <v>151970153.38602889</v>
      </c>
      <c r="Y500" s="95">
        <f t="shared" si="64"/>
        <v>153412166.70374575</v>
      </c>
      <c r="Z500" s="1"/>
      <c r="AA500" s="1"/>
      <c r="AB500" s="1"/>
      <c r="AC500" s="1"/>
      <c r="AD500" s="1"/>
      <c r="AE500" s="1"/>
      <c r="AF500" s="1"/>
      <c r="AG500" s="1"/>
      <c r="AH500" s="1"/>
    </row>
    <row r="501" spans="8:34" x14ac:dyDescent="0.35"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>
        <f t="shared" si="60"/>
        <v>446</v>
      </c>
      <c r="V501" s="95">
        <f t="shared" si="61"/>
        <v>153412166.70374575</v>
      </c>
      <c r="W501" s="95">
        <f t="shared" si="62"/>
        <v>150000.0055625035</v>
      </c>
      <c r="X501" s="95">
        <f t="shared" si="63"/>
        <v>153262166.69818324</v>
      </c>
      <c r="Y501" s="95">
        <f t="shared" si="64"/>
        <v>154716439.66268784</v>
      </c>
      <c r="Z501" s="1"/>
      <c r="AA501" s="1"/>
      <c r="AB501" s="1"/>
      <c r="AC501" s="1"/>
      <c r="AD501" s="1"/>
      <c r="AE501" s="1"/>
      <c r="AF501" s="1"/>
      <c r="AG501" s="1"/>
      <c r="AH501" s="1"/>
    </row>
    <row r="502" spans="8:34" x14ac:dyDescent="0.35"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>
        <f t="shared" si="60"/>
        <v>447</v>
      </c>
      <c r="V502" s="95">
        <f t="shared" si="61"/>
        <v>154716439.66268784</v>
      </c>
      <c r="W502" s="95">
        <f t="shared" si="62"/>
        <v>150000.00557500351</v>
      </c>
      <c r="X502" s="95">
        <f t="shared" si="63"/>
        <v>154566439.65711284</v>
      </c>
      <c r="Y502" s="95">
        <f t="shared" si="64"/>
        <v>156033088.59765491</v>
      </c>
      <c r="Z502" s="1"/>
      <c r="AA502" s="1"/>
      <c r="AB502" s="1"/>
      <c r="AC502" s="1"/>
      <c r="AD502" s="1"/>
      <c r="AE502" s="1"/>
      <c r="AF502" s="1"/>
      <c r="AG502" s="1"/>
      <c r="AH502" s="1"/>
    </row>
    <row r="503" spans="8:34" x14ac:dyDescent="0.35"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>
        <f t="shared" si="60"/>
        <v>448</v>
      </c>
      <c r="V503" s="95">
        <f t="shared" si="61"/>
        <v>156033088.59765491</v>
      </c>
      <c r="W503" s="95">
        <f t="shared" si="62"/>
        <v>150000.00558750352</v>
      </c>
      <c r="X503" s="95">
        <f t="shared" si="63"/>
        <v>155883088.59206739</v>
      </c>
      <c r="Y503" s="95">
        <f t="shared" si="64"/>
        <v>157362230.94172078</v>
      </c>
      <c r="Z503" s="1"/>
      <c r="AA503" s="1"/>
      <c r="AB503" s="1"/>
      <c r="AC503" s="1"/>
      <c r="AD503" s="1"/>
      <c r="AE503" s="1"/>
      <c r="AF503" s="1"/>
      <c r="AG503" s="1"/>
      <c r="AH503" s="1"/>
    </row>
    <row r="504" spans="8:34" x14ac:dyDescent="0.35"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>
        <f t="shared" si="60"/>
        <v>449</v>
      </c>
      <c r="V504" s="95">
        <f t="shared" si="61"/>
        <v>157362230.94172078</v>
      </c>
      <c r="W504" s="95">
        <f t="shared" si="62"/>
        <v>150000.00560000353</v>
      </c>
      <c r="X504" s="95">
        <f t="shared" si="63"/>
        <v>157212230.93612078</v>
      </c>
      <c r="Y504" s="95">
        <f t="shared" si="64"/>
        <v>158703985.24225748</v>
      </c>
      <c r="Z504" s="1"/>
      <c r="AA504" s="1"/>
      <c r="AB504" s="1"/>
      <c r="AC504" s="1"/>
      <c r="AD504" s="1"/>
      <c r="AE504" s="1"/>
      <c r="AF504" s="1"/>
      <c r="AG504" s="1"/>
      <c r="AH504" s="1"/>
    </row>
    <row r="505" spans="8:34" x14ac:dyDescent="0.35"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>
        <f t="shared" si="60"/>
        <v>450</v>
      </c>
      <c r="V505" s="95">
        <f t="shared" si="61"/>
        <v>158703985.24225748</v>
      </c>
      <c r="W505" s="95">
        <f t="shared" si="62"/>
        <v>150000.00561250353</v>
      </c>
      <c r="X505" s="95">
        <f t="shared" si="63"/>
        <v>158553985.23664498</v>
      </c>
      <c r="Y505" s="95">
        <f t="shared" si="64"/>
        <v>160058471.17150843</v>
      </c>
      <c r="Z505" s="1"/>
      <c r="AA505" s="1"/>
      <c r="AB505" s="1"/>
      <c r="AC505" s="1"/>
      <c r="AD505" s="1"/>
      <c r="AE505" s="1"/>
      <c r="AF505" s="1"/>
      <c r="AG505" s="1"/>
      <c r="AH505" s="1"/>
    </row>
    <row r="506" spans="8:34" x14ac:dyDescent="0.35"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>
        <f t="shared" ref="U506:U507" si="65">U505+1</f>
        <v>451</v>
      </c>
      <c r="V506" s="95">
        <f t="shared" ref="V506:V507" si="66">Y505</f>
        <v>160058471.17150843</v>
      </c>
      <c r="W506" s="95">
        <f t="shared" ref="W506:W507" si="67">W505+W505*($F$15/12)</f>
        <v>150000.00562500354</v>
      </c>
      <c r="X506" s="95">
        <f t="shared" ref="X506:X507" si="68">V506-W506</f>
        <v>159908471.16588342</v>
      </c>
      <c r="Y506" s="95">
        <f t="shared" ref="Y506:Y507" si="69">X506+(X506*($K$9/12))</f>
        <v>161425809.53726223</v>
      </c>
      <c r="Z506" s="1"/>
      <c r="AA506" s="1"/>
      <c r="AB506" s="1"/>
      <c r="AC506" s="1"/>
      <c r="AD506" s="1"/>
      <c r="AE506" s="1"/>
      <c r="AF506" s="1"/>
      <c r="AG506" s="1"/>
      <c r="AH506" s="1"/>
    </row>
    <row r="507" spans="8:34" x14ac:dyDescent="0.35"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>
        <f t="shared" si="65"/>
        <v>452</v>
      </c>
      <c r="V507" s="95">
        <f t="shared" si="66"/>
        <v>161425809.53726223</v>
      </c>
      <c r="W507" s="95">
        <f t="shared" si="67"/>
        <v>150000.00563750355</v>
      </c>
      <c r="X507" s="95">
        <f t="shared" si="68"/>
        <v>161275809.53162473</v>
      </c>
      <c r="Y507" s="95">
        <f t="shared" si="69"/>
        <v>162806122.29362759</v>
      </c>
      <c r="Z507" s="1"/>
      <c r="AA507" s="1"/>
      <c r="AB507" s="1"/>
      <c r="AC507" s="1"/>
      <c r="AD507" s="1"/>
      <c r="AE507" s="1"/>
      <c r="AF507" s="1"/>
      <c r="AG507" s="1"/>
      <c r="AH507" s="1"/>
    </row>
  </sheetData>
  <mergeCells count="16">
    <mergeCell ref="C54:G54"/>
    <mergeCell ref="I54:M54"/>
    <mergeCell ref="O54:S54"/>
    <mergeCell ref="U54:Y54"/>
    <mergeCell ref="H45:I45"/>
    <mergeCell ref="H48:I48"/>
    <mergeCell ref="D53:G53"/>
    <mergeCell ref="I53:M53"/>
    <mergeCell ref="O53:S53"/>
    <mergeCell ref="U53:Y53"/>
    <mergeCell ref="H42:I42"/>
    <mergeCell ref="B1:F2"/>
    <mergeCell ref="B14:B15"/>
    <mergeCell ref="C14:C15"/>
    <mergeCell ref="H38:I38"/>
    <mergeCell ref="H39:I39"/>
  </mergeCells>
  <pageMargins left="0.7" right="0.7" top="0.75" bottom="0.75" header="0.3" footer="0.3"/>
  <ignoredErrors>
    <ignoredError sqref="C10:K13 C39:Y59 C60:Z507 C15:K33 C14:E14 G14:K14 D9:K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Concept Explained</vt:lpstr>
      <vt:lpstr>Concept Explained1</vt:lpstr>
      <vt:lpstr>Bucket Strategy Tool</vt:lpstr>
      <vt:lpstr>Calculation with Inflation</vt:lpstr>
      <vt:lpstr>Calculation without 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Shah</dc:creator>
  <cp:lastModifiedBy>Tamanna Kejriwal</cp:lastModifiedBy>
  <dcterms:created xsi:type="dcterms:W3CDTF">2021-11-14T08:45:00Z</dcterms:created>
  <dcterms:modified xsi:type="dcterms:W3CDTF">2026-03-24T10:04:55Z</dcterms:modified>
</cp:coreProperties>
</file>